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C:\Users\shahzaib.khan1\Downloads\"/>
    </mc:Choice>
  </mc:AlternateContent>
  <xr:revisionPtr revIDLastSave="0" documentId="8_{AB6AACF4-428D-461C-A1E5-B67DE3CF27DD}" xr6:coauthVersionLast="47" xr6:coauthVersionMax="47" xr10:uidLastSave="{00000000-0000-0000-0000-000000000000}"/>
  <bookViews>
    <workbookView xWindow="-120" yWindow="-120" windowWidth="29040" windowHeight="15720" activeTab="1" xr2:uid="{00000000-000D-0000-FFFF-FFFF00000000}"/>
  </bookViews>
  <sheets>
    <sheet name="Project schedule" sheetId="11" r:id="rId1"/>
    <sheet name="Overall planning" sheetId="14" r:id="rId2"/>
  </sheets>
  <definedNames>
    <definedName name="Display_Week">'Project schedule'!$W$2</definedName>
    <definedName name="_xlnm.Print_Titles" localSheetId="0">'Project schedule'!$4:$6</definedName>
    <definedName name="Project_Start">'Project schedule'!$W$1</definedName>
    <definedName name="task_end" localSheetId="0">'Project schedule'!$L1</definedName>
    <definedName name="task_progress" localSheetId="0">'Project schedule'!$F1</definedName>
    <definedName name="task_start" localSheetId="0">'Project schedule'!$K1</definedName>
    <definedName name="today" localSheetId="0">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4" l="1"/>
  <c r="G52" i="11"/>
  <c r="F52" i="11"/>
  <c r="E52" i="11"/>
  <c r="L56" i="11"/>
  <c r="E27" i="14" s="1"/>
  <c r="K71" i="11"/>
  <c r="K48" i="11"/>
  <c r="K49" i="11"/>
  <c r="K50" i="11"/>
  <c r="K51" i="11"/>
  <c r="K47" i="11"/>
  <c r="L103" i="11"/>
  <c r="L99" i="11"/>
  <c r="G116" i="11"/>
  <c r="F116" i="11"/>
  <c r="E116" i="11"/>
  <c r="G109" i="11"/>
  <c r="G93" i="11"/>
  <c r="E14" i="11"/>
  <c r="E121" i="11"/>
  <c r="E109" i="11"/>
  <c r="E103" i="11"/>
  <c r="E99" i="11"/>
  <c r="E93" i="11"/>
  <c r="E86" i="11"/>
  <c r="E80" i="11"/>
  <c r="E75" i="11"/>
  <c r="E70" i="11"/>
  <c r="E63" i="11"/>
  <c r="E57" i="11"/>
  <c r="E46" i="11"/>
  <c r="E41" i="11"/>
  <c r="E31" i="11"/>
  <c r="E24" i="11"/>
  <c r="E20" i="11"/>
  <c r="E8" i="11"/>
  <c r="L52" i="11" l="1"/>
  <c r="C28" i="14"/>
  <c r="G121" i="11"/>
  <c r="F121" i="11"/>
  <c r="G28" i="14" s="1"/>
  <c r="K28" i="14" s="1"/>
  <c r="N126" i="11"/>
  <c r="N125" i="11"/>
  <c r="N124" i="11"/>
  <c r="N123" i="11"/>
  <c r="N122" i="11"/>
  <c r="L121" i="11"/>
  <c r="K121" i="11"/>
  <c r="D28" i="14" s="1"/>
  <c r="G26" i="14"/>
  <c r="G25" i="14"/>
  <c r="G22" i="14"/>
  <c r="G11" i="14"/>
  <c r="I11" i="14" s="1"/>
  <c r="G103" i="11"/>
  <c r="G24" i="14" s="1"/>
  <c r="G99" i="11"/>
  <c r="G23" i="14" s="1"/>
  <c r="G86" i="11"/>
  <c r="G21" i="14" s="1"/>
  <c r="G80" i="11"/>
  <c r="G20" i="14" s="1"/>
  <c r="G75" i="11"/>
  <c r="G19" i="14" s="1"/>
  <c r="G70" i="11"/>
  <c r="G18" i="14" s="1"/>
  <c r="G63" i="11"/>
  <c r="G17" i="14" s="1"/>
  <c r="E28" i="14" l="1"/>
  <c r="N121" i="11"/>
  <c r="G57" i="11"/>
  <c r="G16" i="14" s="1"/>
  <c r="G15" i="14"/>
  <c r="G46" i="11"/>
  <c r="G14" i="14" s="1"/>
  <c r="G41" i="11"/>
  <c r="G31" i="11"/>
  <c r="G9" i="14" s="1"/>
  <c r="G24" i="11"/>
  <c r="G8" i="14" s="1"/>
  <c r="G20" i="11"/>
  <c r="G7" i="14" s="1"/>
  <c r="G14" i="11"/>
  <c r="G6" i="14" s="1"/>
  <c r="G8" i="11"/>
  <c r="G5" i="14" s="1"/>
  <c r="G10" i="14" l="1"/>
  <c r="I42" i="14"/>
  <c r="I41" i="14"/>
  <c r="I40" i="14"/>
  <c r="I39" i="14"/>
  <c r="I38" i="14"/>
  <c r="I37" i="14"/>
  <c r="I36" i="14"/>
  <c r="I35" i="14"/>
  <c r="I34" i="14"/>
  <c r="I27" i="14"/>
  <c r="D27" i="14"/>
  <c r="E26" i="14"/>
  <c r="E24" i="14"/>
  <c r="E23" i="14"/>
  <c r="E19" i="14"/>
  <c r="E18" i="14"/>
  <c r="N129" i="11"/>
  <c r="N128" i="11"/>
  <c r="N120" i="11"/>
  <c r="I26" i="14"/>
  <c r="N114" i="11"/>
  <c r="N113" i="11"/>
  <c r="N112" i="11"/>
  <c r="N111" i="11"/>
  <c r="L109" i="11"/>
  <c r="F109" i="11"/>
  <c r="I25" i="14" s="1"/>
  <c r="F103" i="11"/>
  <c r="I24" i="14" s="1"/>
  <c r="F99" i="11"/>
  <c r="I23" i="14" s="1"/>
  <c r="L93" i="11"/>
  <c r="F93" i="11"/>
  <c r="I22" i="14" s="1"/>
  <c r="L86" i="11"/>
  <c r="F86" i="11"/>
  <c r="I21" i="14" s="1"/>
  <c r="L80" i="11"/>
  <c r="F80" i="11"/>
  <c r="I20" i="14" s="1"/>
  <c r="L75" i="11"/>
  <c r="F75" i="11"/>
  <c r="I19" i="14" s="1"/>
  <c r="K73" i="11"/>
  <c r="K74" i="11" s="1"/>
  <c r="N74" i="11" s="1"/>
  <c r="K72" i="11"/>
  <c r="N71" i="11"/>
  <c r="L70" i="11"/>
  <c r="F70" i="11"/>
  <c r="I18" i="14" s="1"/>
  <c r="N68" i="11"/>
  <c r="N67" i="11"/>
  <c r="N66" i="11"/>
  <c r="F63" i="11"/>
  <c r="I17" i="14" s="1"/>
  <c r="F57" i="11"/>
  <c r="I16" i="14" s="1"/>
  <c r="I15" i="14"/>
  <c r="F46" i="11"/>
  <c r="I14" i="14" s="1"/>
  <c r="F41" i="11"/>
  <c r="K32" i="11"/>
  <c r="K36" i="11" s="1"/>
  <c r="F31" i="11"/>
  <c r="I9" i="14" s="1"/>
  <c r="K25" i="11"/>
  <c r="F24" i="11"/>
  <c r="I8" i="14" s="1"/>
  <c r="K21" i="11"/>
  <c r="K23" i="11" s="1"/>
  <c r="F20" i="11"/>
  <c r="I7" i="14" s="1"/>
  <c r="K15" i="11"/>
  <c r="F14" i="11"/>
  <c r="I6" i="14" s="1"/>
  <c r="K9" i="11"/>
  <c r="F8" i="11"/>
  <c r="I5" i="14" s="1"/>
  <c r="N7" i="11"/>
  <c r="O5" i="11"/>
  <c r="O6" i="11" s="1"/>
  <c r="E20" i="14" l="1"/>
  <c r="D18" i="14"/>
  <c r="K110" i="11"/>
  <c r="E21" i="14"/>
  <c r="E25" i="14"/>
  <c r="E22" i="14"/>
  <c r="N118" i="11"/>
  <c r="N72" i="11"/>
  <c r="N73" i="11"/>
  <c r="N119" i="11"/>
  <c r="D26" i="14"/>
  <c r="K70" i="11"/>
  <c r="P5" i="11"/>
  <c r="Q5" i="11" s="1"/>
  <c r="Q6" i="11" s="1"/>
  <c r="L21" i="11"/>
  <c r="N21" i="11" s="1"/>
  <c r="O4" i="11"/>
  <c r="K22" i="11"/>
  <c r="L22" i="11" s="1"/>
  <c r="N22" i="11" s="1"/>
  <c r="I10" i="14"/>
  <c r="K27" i="11"/>
  <c r="K28" i="11"/>
  <c r="L25" i="11"/>
  <c r="K26" i="11"/>
  <c r="L36" i="11"/>
  <c r="N36" i="11" s="1"/>
  <c r="K37" i="11"/>
  <c r="K12" i="11"/>
  <c r="L9" i="11"/>
  <c r="N9" i="11" s="1"/>
  <c r="K13" i="11"/>
  <c r="K11" i="11"/>
  <c r="K34" i="11"/>
  <c r="L32" i="11"/>
  <c r="N32" i="11" s="1"/>
  <c r="K33" i="11"/>
  <c r="K35" i="11"/>
  <c r="L23" i="11"/>
  <c r="N23" i="11" s="1"/>
  <c r="K17" i="11"/>
  <c r="K18" i="11"/>
  <c r="L15" i="11"/>
  <c r="N15" i="11" s="1"/>
  <c r="K16" i="11"/>
  <c r="K10" i="11"/>
  <c r="K19" i="11"/>
  <c r="K29" i="11"/>
  <c r="L116" i="11"/>
  <c r="R5" i="11" l="1"/>
  <c r="K117" i="11"/>
  <c r="K109" i="11"/>
  <c r="D25" i="14" s="1"/>
  <c r="N110" i="11"/>
  <c r="N70" i="11"/>
  <c r="L20" i="11"/>
  <c r="E7" i="14" s="1"/>
  <c r="P6" i="11"/>
  <c r="K8" i="11"/>
  <c r="K20" i="11"/>
  <c r="L28" i="11"/>
  <c r="N28" i="11" s="1"/>
  <c r="L19" i="11"/>
  <c r="N19" i="11" s="1"/>
  <c r="L16" i="11"/>
  <c r="R6" i="11"/>
  <c r="S5" i="11"/>
  <c r="L33" i="11"/>
  <c r="L29" i="11"/>
  <c r="N29" i="11" s="1"/>
  <c r="L10" i="11"/>
  <c r="K14" i="11"/>
  <c r="L17" i="11"/>
  <c r="N17" i="11" s="1"/>
  <c r="L35" i="11"/>
  <c r="N35" i="11" s="1"/>
  <c r="L11" i="11"/>
  <c r="N11" i="11" s="1"/>
  <c r="L12" i="11"/>
  <c r="N12" i="11"/>
  <c r="L43" i="11"/>
  <c r="K30" i="11"/>
  <c r="K24" i="11" s="1"/>
  <c r="L26" i="11"/>
  <c r="N26" i="11" s="1"/>
  <c r="N25" i="11"/>
  <c r="L18" i="11"/>
  <c r="N18" i="11" s="1"/>
  <c r="L34" i="11"/>
  <c r="N34" i="11" s="1"/>
  <c r="L13" i="11"/>
  <c r="N13" i="11" s="1"/>
  <c r="K42" i="11"/>
  <c r="K38" i="11"/>
  <c r="L42" i="11"/>
  <c r="L44" i="11"/>
  <c r="L45" i="11"/>
  <c r="L37" i="11"/>
  <c r="N37" i="11" s="1"/>
  <c r="L27" i="11"/>
  <c r="N27" i="11" s="1"/>
  <c r="N109" i="11" l="1"/>
  <c r="N117" i="11"/>
  <c r="K116" i="11"/>
  <c r="D5" i="14"/>
  <c r="D7" i="14"/>
  <c r="N20" i="11"/>
  <c r="L8" i="11"/>
  <c r="E5" i="14" s="1"/>
  <c r="L14" i="11"/>
  <c r="K44" i="11"/>
  <c r="N44" i="11" s="1"/>
  <c r="N42" i="11"/>
  <c r="K43" i="11"/>
  <c r="N43" i="11" s="1"/>
  <c r="K45" i="11"/>
  <c r="N45" i="11" s="1"/>
  <c r="D6" i="14"/>
  <c r="D8" i="14"/>
  <c r="N10" i="11"/>
  <c r="N33" i="11"/>
  <c r="N16" i="11"/>
  <c r="L41" i="11"/>
  <c r="L38" i="11"/>
  <c r="N38" i="11" s="1"/>
  <c r="L30" i="11"/>
  <c r="L24" i="11" s="1"/>
  <c r="T5" i="11"/>
  <c r="S6" i="11"/>
  <c r="N116" i="11" l="1"/>
  <c r="N14" i="11"/>
  <c r="E6" i="14"/>
  <c r="N8" i="11"/>
  <c r="K41" i="11"/>
  <c r="D10" i="14" s="1"/>
  <c r="E8" i="14"/>
  <c r="N24" i="11"/>
  <c r="K53" i="11"/>
  <c r="N30" i="11"/>
  <c r="U5" i="11"/>
  <c r="T6" i="11"/>
  <c r="K40" i="11"/>
  <c r="K39" i="11"/>
  <c r="K52" i="11" l="1"/>
  <c r="N41" i="11"/>
  <c r="N49" i="11"/>
  <c r="K46" i="11"/>
  <c r="E16" i="14"/>
  <c r="E14" i="14"/>
  <c r="E17" i="14"/>
  <c r="E15" i="14"/>
  <c r="D14" i="14"/>
  <c r="L40" i="11"/>
  <c r="N40" i="11" s="1"/>
  <c r="K58" i="11"/>
  <c r="N53" i="11"/>
  <c r="K55" i="11"/>
  <c r="K54" i="11"/>
  <c r="K56" i="11" s="1"/>
  <c r="U6" i="11"/>
  <c r="V5" i="11"/>
  <c r="L39" i="11"/>
  <c r="K31" i="11"/>
  <c r="N47" i="11"/>
  <c r="L46" i="11" l="1"/>
  <c r="N48" i="11"/>
  <c r="N55" i="11"/>
  <c r="N54" i="11"/>
  <c r="D15" i="14"/>
  <c r="K60" i="11"/>
  <c r="N60" i="11" s="1"/>
  <c r="K62" i="11"/>
  <c r="K64" i="11"/>
  <c r="K78" i="11" s="1"/>
  <c r="K79" i="11" s="1"/>
  <c r="N79" i="11" s="1"/>
  <c r="K59" i="11"/>
  <c r="K61" i="11"/>
  <c r="N58" i="11"/>
  <c r="N51" i="11"/>
  <c r="V6" i="11"/>
  <c r="W5" i="11"/>
  <c r="V4" i="11"/>
  <c r="D9" i="14"/>
  <c r="N39" i="11"/>
  <c r="L31" i="11"/>
  <c r="L63" i="11"/>
  <c r="N50" i="11"/>
  <c r="N46" i="11" l="1"/>
  <c r="L57" i="11"/>
  <c r="D16" i="14"/>
  <c r="N59" i="11"/>
  <c r="N52" i="11"/>
  <c r="K57" i="11"/>
  <c r="N64" i="11"/>
  <c r="K65" i="11"/>
  <c r="E9" i="14"/>
  <c r="E10" i="14" s="1"/>
  <c r="N31" i="11"/>
  <c r="W6" i="11"/>
  <c r="X5" i="11"/>
  <c r="N61" i="11"/>
  <c r="N62" i="11"/>
  <c r="K63" i="11" l="1"/>
  <c r="N63" i="11" s="1"/>
  <c r="K76" i="11"/>
  <c r="D17" i="14"/>
  <c r="N65" i="11"/>
  <c r="Y5" i="11"/>
  <c r="X6" i="11"/>
  <c r="E11" i="14"/>
  <c r="N57" i="11"/>
  <c r="K81" i="11" l="1"/>
  <c r="K77" i="11"/>
  <c r="N76" i="11"/>
  <c r="K75" i="11"/>
  <c r="Y6" i="11"/>
  <c r="Z5" i="11"/>
  <c r="N75" i="11" l="1"/>
  <c r="N77" i="11"/>
  <c r="K90" i="11"/>
  <c r="K87" i="11"/>
  <c r="D19" i="14"/>
  <c r="K83" i="11"/>
  <c r="N83" i="11" s="1"/>
  <c r="K82" i="11"/>
  <c r="N81" i="11"/>
  <c r="K85" i="11"/>
  <c r="N85" i="11" s="1"/>
  <c r="K84" i="11"/>
  <c r="N84" i="11" s="1"/>
  <c r="K80" i="11"/>
  <c r="Z6" i="11"/>
  <c r="AA5" i="11"/>
  <c r="N80" i="11" l="1"/>
  <c r="D20" i="14"/>
  <c r="N82" i="11"/>
  <c r="K89" i="11"/>
  <c r="K88" i="11"/>
  <c r="N87" i="11"/>
  <c r="N90" i="11"/>
  <c r="K92" i="11"/>
  <c r="K91" i="11"/>
  <c r="N91" i="11" s="1"/>
  <c r="AB5" i="11"/>
  <c r="AA6" i="11"/>
  <c r="K86" i="11" l="1"/>
  <c r="N88" i="11"/>
  <c r="D21" i="14"/>
  <c r="N89" i="11"/>
  <c r="K94" i="11"/>
  <c r="AC5" i="11"/>
  <c r="AB6" i="11"/>
  <c r="N94" i="11" l="1"/>
  <c r="K95" i="11"/>
  <c r="K96" i="11"/>
  <c r="K93" i="11"/>
  <c r="N86" i="11"/>
  <c r="AC6" i="11"/>
  <c r="AC4" i="11"/>
  <c r="AD5" i="11"/>
  <c r="N93" i="11" l="1"/>
  <c r="K98" i="11"/>
  <c r="N98" i="11" s="1"/>
  <c r="K100" i="11"/>
  <c r="N96" i="11"/>
  <c r="K97" i="11"/>
  <c r="N97" i="11" s="1"/>
  <c r="N95" i="11"/>
  <c r="K101" i="11"/>
  <c r="K102" i="11"/>
  <c r="N102" i="11" s="1"/>
  <c r="D22" i="14"/>
  <c r="AD6" i="11"/>
  <c r="AE5" i="11"/>
  <c r="K104" i="11" l="1"/>
  <c r="D23" i="14"/>
  <c r="N101" i="11"/>
  <c r="K99" i="11"/>
  <c r="N100" i="11"/>
  <c r="AE6" i="11"/>
  <c r="AF5" i="11"/>
  <c r="N99" i="11" l="1"/>
  <c r="K108" i="11"/>
  <c r="N108" i="11" s="1"/>
  <c r="K107" i="11"/>
  <c r="N107" i="11" s="1"/>
  <c r="K106" i="11"/>
  <c r="N106" i="11" s="1"/>
  <c r="K105" i="11"/>
  <c r="K103" i="11" s="1"/>
  <c r="N104" i="11"/>
  <c r="AG5" i="11"/>
  <c r="AF6" i="11"/>
  <c r="N103" i="11" l="1"/>
  <c r="N105" i="11"/>
  <c r="D24" i="14"/>
  <c r="AG6" i="11"/>
  <c r="AH5" i="11"/>
  <c r="AH6" i="11" l="1"/>
  <c r="AI5" i="11"/>
  <c r="AJ5" i="11" l="1"/>
  <c r="AI6" i="11"/>
  <c r="AK5" i="11" l="1"/>
  <c r="AJ4" i="11"/>
  <c r="AJ6" i="11"/>
  <c r="AK6" i="11" l="1"/>
  <c r="AL5" i="11"/>
  <c r="AL6" i="11" l="1"/>
  <c r="AM5" i="11"/>
  <c r="AM6" i="11" l="1"/>
  <c r="AN5" i="11"/>
  <c r="AO5" i="11" l="1"/>
  <c r="AN6" i="11"/>
  <c r="AO6" i="11" l="1"/>
  <c r="AP5" i="11"/>
  <c r="AP6" i="11" l="1"/>
  <c r="AQ5" i="11"/>
  <c r="AR5" i="11" l="1"/>
  <c r="AQ4" i="11"/>
  <c r="AQ6" i="11"/>
  <c r="AS5" i="11" l="1"/>
  <c r="AR6" i="11"/>
  <c r="AS6" i="11" l="1"/>
  <c r="AT5" i="11"/>
  <c r="AT6" i="11" l="1"/>
  <c r="AU5" i="11"/>
  <c r="AU6" i="11" l="1"/>
  <c r="AV5" i="11"/>
  <c r="AW5" i="11" l="1"/>
  <c r="AV6" i="11"/>
  <c r="AW6" i="11" l="1"/>
  <c r="AX5" i="11"/>
  <c r="AX6" i="11" l="1"/>
  <c r="AX4" i="11"/>
  <c r="AY5" i="11"/>
  <c r="AZ5" i="11" l="1"/>
  <c r="AY6" i="11"/>
  <c r="BA5" i="11" l="1"/>
  <c r="AZ6" i="11"/>
  <c r="BA6" i="11" l="1"/>
  <c r="BB5" i="11"/>
  <c r="BB6" i="11" l="1"/>
  <c r="BC5" i="11"/>
  <c r="BC6" i="11" l="1"/>
  <c r="BD5" i="11"/>
  <c r="BE5" i="11" l="1"/>
  <c r="BD6" i="11"/>
  <c r="BE6" i="11" l="1"/>
  <c r="BE4" i="11"/>
  <c r="BF5" i="11"/>
  <c r="BF6" i="11" l="1"/>
  <c r="BG5" i="11"/>
  <c r="BH5" i="11" l="1"/>
  <c r="BG6" i="11"/>
  <c r="BI5" i="11" l="1"/>
  <c r="BH6" i="11"/>
  <c r="BI6" i="11" l="1"/>
  <c r="BJ5" i="11"/>
  <c r="BJ6" i="11" l="1"/>
  <c r="BK5" i="11"/>
  <c r="BK6" i="11" l="1"/>
  <c r="BL5" i="11"/>
  <c r="BM5" i="11" l="1"/>
  <c r="BL4" i="11"/>
  <c r="BL6" i="11"/>
  <c r="BM6" i="11" l="1"/>
  <c r="BN5" i="11"/>
  <c r="BN6" i="11" l="1"/>
  <c r="BO5" i="11"/>
  <c r="BP5" i="11" l="1"/>
  <c r="BO6" i="11"/>
  <c r="BQ5" i="11" l="1"/>
  <c r="BP6" i="11"/>
  <c r="BQ6" i="11" l="1"/>
  <c r="BR5" i="11"/>
  <c r="BR6"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lu'xue</author>
  </authors>
  <commentList>
    <comment ref="P2" authorId="0" shapeId="0" xr:uid="{00000000-0006-0000-0100-000001000000}">
      <text>
        <r>
          <rPr>
            <b/>
            <sz val="9"/>
            <rFont val="宋体"/>
            <family val="3"/>
            <charset val="134"/>
          </rPr>
          <t>lu'xue:</t>
        </r>
        <r>
          <rPr>
            <sz val="9"/>
            <rFont val="宋体"/>
            <family val="3"/>
            <charset val="134"/>
          </rPr>
          <t xml:space="preserve">
流程改造
包括
流程提升
线下流程线上化
拆解流程流转节点及责任人</t>
        </r>
      </text>
    </comment>
  </commentList>
</comments>
</file>

<file path=xl/sharedStrings.xml><?xml version="1.0" encoding="utf-8"?>
<sst xmlns="http://schemas.openxmlformats.org/spreadsheetml/2006/main" count="367" uniqueCount="208">
  <si>
    <t xml:space="preserve">Liugong Finance </t>
  </si>
  <si>
    <t>Date:</t>
  </si>
  <si>
    <t>IT DEPT</t>
  </si>
  <si>
    <t>Display week:</t>
  </si>
  <si>
    <t>TASK</t>
  </si>
  <si>
    <t>ASSIGNED TO</t>
  </si>
  <si>
    <t>PROGRESS</t>
  </si>
  <si>
    <t>START</t>
  </si>
  <si>
    <t>END</t>
  </si>
  <si>
    <t xml:space="preserve">Do not delete this row. This row is hidden to preserve a formula that is used to highlight the current day within the project schedule. </t>
  </si>
  <si>
    <t>Application In</t>
  </si>
  <si>
    <t>1. Select Relevent Products, Dealer Information</t>
  </si>
  <si>
    <t>Bu Arianti, Pak Olly</t>
  </si>
  <si>
    <t>1. Input Applicant Information
2. Input Address, Reference, Project, shareholder information etc.</t>
  </si>
  <si>
    <t>1. Input Facility Information</t>
  </si>
  <si>
    <t>1. Submit application For Analysis</t>
  </si>
  <si>
    <t>Stationary/Document/Reports</t>
  </si>
  <si>
    <t>CAFA</t>
  </si>
  <si>
    <t xml:space="preserve">1. Finacial Analaysis of Facility request
</t>
  </si>
  <si>
    <t>Bu Arianti, Pak Olly, Bu Ria</t>
  </si>
  <si>
    <t>1. AML, CFT Scoring &amp; analysis</t>
  </si>
  <si>
    <t>Pak Pram</t>
  </si>
  <si>
    <t>1. Change Request process</t>
  </si>
  <si>
    <t>1. Dealer Recourse</t>
  </si>
  <si>
    <t>Staionary/Document</t>
  </si>
  <si>
    <t>Signing CLF</t>
  </si>
  <si>
    <t>1. Votting Process initiated
2. Votting process Completed</t>
  </si>
  <si>
    <t>Bu Arianti, Pak Olly, Bu Ria &amp; Credit Commetti</t>
  </si>
  <si>
    <t>1. Facility Approval Request Approval
2. Conditional Approval</t>
  </si>
  <si>
    <t>5. Document/Stationary check</t>
  </si>
  <si>
    <t>Document Printing</t>
  </si>
  <si>
    <t>1. Asset Application creation</t>
  </si>
  <si>
    <t xml:space="preserve">Bu Arianti, Pak Olly, </t>
  </si>
  <si>
    <t>1. Check Structure &amp; non- structure plans
2. Check Multi assets in application</t>
  </si>
  <si>
    <t>1. Check Repayment Plan Data
2. Check Insurance, Subsidy</t>
  </si>
  <si>
    <t>1. Submit asset application For Approval</t>
  </si>
  <si>
    <t>1. Convert application into Contract</t>
  </si>
  <si>
    <t>1. Check Stationary/Documents</t>
  </si>
  <si>
    <t>Disbursement</t>
  </si>
  <si>
    <t>1. Check Financial data in Contract Actiation</t>
  </si>
  <si>
    <t>Bu Arianti, Pak Olly, Bu Julia</t>
  </si>
  <si>
    <t>1. Input BAST, PJB data, Ceritifcate of Ownershipt etc…</t>
  </si>
  <si>
    <t>1. Check if Financial Modification is required</t>
  </si>
  <si>
    <t>1. PDC Management</t>
  </si>
  <si>
    <t>Bu Arianti, Pak Olly, Pak Richard, Bu Julia</t>
  </si>
  <si>
    <t>1. Contract Go Live</t>
  </si>
  <si>
    <t>1. Payable Generation</t>
  </si>
  <si>
    <t>1. Disbursement to Dealer</t>
  </si>
  <si>
    <t>Pak Richard</t>
  </si>
  <si>
    <t>Bu Julia</t>
  </si>
  <si>
    <t>Collection Process</t>
  </si>
  <si>
    <t xml:space="preserve">1. Collection Followup request
</t>
  </si>
  <si>
    <t>Pak Isfar, Pak Dibya</t>
  </si>
  <si>
    <t>2. Monitoring of Contract with overdue</t>
  </si>
  <si>
    <t>3. Followups</t>
  </si>
  <si>
    <t>Payment Default Settlement</t>
  </si>
  <si>
    <t>1. Check contract status</t>
  </si>
  <si>
    <t>1. Check Restrcturing possiblity
2. Use Case Management to Record for Approval of Restructuring</t>
  </si>
  <si>
    <t>1. If Approved by BOD, Perform System Restructuring</t>
  </si>
  <si>
    <t>1. Check Restructuring Results</t>
  </si>
  <si>
    <t>Restrcuturing Process</t>
  </si>
  <si>
    <t>1. Get Approval for Restructuring using Case Managenemt</t>
  </si>
  <si>
    <t>2. Perform Restrcturing Approval</t>
  </si>
  <si>
    <t>3. Stationary/Document</t>
  </si>
  <si>
    <t>Reposession</t>
  </si>
  <si>
    <t>1. Initiate Reposession Request</t>
  </si>
  <si>
    <t>2. Redemption Expiry</t>
  </si>
  <si>
    <t>3. Asset Register</t>
  </si>
  <si>
    <t>4. Available for Remakreting</t>
  </si>
  <si>
    <t>5. Remarketing of Asset</t>
  </si>
  <si>
    <t>Inventory Asset Selling</t>
  </si>
  <si>
    <t>Recourse</t>
  </si>
  <si>
    <t>Recource BBG</t>
  </si>
  <si>
    <t>Recource ALG</t>
  </si>
  <si>
    <t>Recourse FPG</t>
  </si>
  <si>
    <t>BG</t>
  </si>
  <si>
    <t>BG Hold</t>
  </si>
  <si>
    <t>BG Return</t>
  </si>
  <si>
    <t>BG Re-Clearing</t>
  </si>
  <si>
    <t>Stop Engine</t>
  </si>
  <si>
    <t>Block Supply</t>
  </si>
  <si>
    <t>Filling Document</t>
  </si>
  <si>
    <t>Ownership Document Releasing</t>
  </si>
  <si>
    <t>1. Article Closing request approval</t>
  </si>
  <si>
    <t>1. Refund/Treat as Income actions</t>
  </si>
  <si>
    <t>Stationary/Documents</t>
  </si>
  <si>
    <t>Complaint Handling</t>
  </si>
  <si>
    <t>1. Case management to log Customer complaint</t>
  </si>
  <si>
    <t>1. Case clousure with resolution</t>
  </si>
  <si>
    <t>Emoticons</t>
  </si>
  <si>
    <t>Risk Control</t>
  </si>
  <si>
    <t>AI Empowerment and Efficiency</t>
  </si>
  <si>
    <t>AML Score</t>
  </si>
  <si>
    <t>Anti-Money Laundering Detection Rule Deployment</t>
  </si>
  <si>
    <t>Insert new rows ABOVE this one</t>
  </si>
  <si>
    <t>Phase</t>
  </si>
  <si>
    <t>System Process flow</t>
  </si>
  <si>
    <t>start time</t>
  </si>
  <si>
    <t>End time</t>
  </si>
  <si>
    <t>Status</t>
  </si>
  <si>
    <t>UAT(new)&amp;requirements</t>
  </si>
  <si>
    <t>Process reengineering</t>
  </si>
  <si>
    <t>1.Using real-case testing, gathering feedback on issues, and proposing actual needs
2.Stationary/Document/Reports</t>
  </si>
  <si>
    <t>System debugging</t>
  </si>
  <si>
    <t>Retest and go live</t>
  </si>
  <si>
    <t>1.Process improvement
2.Online transformation of offline processes
3.Disassembly process flow nodes and PIC
4.New Reports</t>
  </si>
  <si>
    <t>From application in to payment receive</t>
  </si>
  <si>
    <t>Collection Process-payment receive</t>
  </si>
  <si>
    <t>Accounting Generation</t>
  </si>
  <si>
    <t>AI</t>
  </si>
  <si>
    <t xml:space="preserve">AI </t>
  </si>
  <si>
    <t>QA and others Post-loan management</t>
  </si>
  <si>
    <t>1.Process design
2.requirements
3.Disassembly process flow nodes and PIC</t>
  </si>
  <si>
    <t>System iteration upgrade and new feature development</t>
  </si>
  <si>
    <t>Iteration - Payment Interface Bank-Enterprise Direct Link</t>
  </si>
  <si>
    <t>项目-核心系统迭代-支付接口银企直联</t>
  </si>
  <si>
    <t>Iteration - OCR Interface</t>
  </si>
  <si>
    <t>项目-核心系统迭代-OCR接口</t>
  </si>
  <si>
    <t>Iteration - Notification Interface</t>
  </si>
  <si>
    <t>项目-核心系统迭代-通知接口</t>
  </si>
  <si>
    <t>Iteration - GPS Interface</t>
  </si>
  <si>
    <t>项目-核心系统迭代-GPS接口</t>
  </si>
  <si>
    <t>Iteration - Data Warehouse Construction</t>
  </si>
  <si>
    <t>项目-核心系统迭代-数仓搭建（基础框架搭建、数据存储追踪）</t>
  </si>
  <si>
    <t xml:space="preserve"> (Basic Framework Construction, Data Storage Tracking)</t>
  </si>
  <si>
    <t>Iteration - SLIK &amp; SILARAS Submission</t>
  </si>
  <si>
    <t>项目-核心系统迭代-SLIK&amp;SILARAS报送</t>
  </si>
  <si>
    <t xml:space="preserve">Iteration - Manufacturer AR Management </t>
  </si>
  <si>
    <t>项目-核心系统迭代-厂家AR管理模块（含经销商、厂家界面优化）</t>
  </si>
  <si>
    <t>(Including Dealer and Manufacturer Interface Optimization)</t>
  </si>
  <si>
    <t>Iteration - Joint Leasing Module</t>
  </si>
  <si>
    <t>项目-核心系统迭代-联合租赁模块</t>
  </si>
  <si>
    <t>Iteration - Channel Business Module</t>
  </si>
  <si>
    <t>项目-核心系统迭代-通道业务模块</t>
  </si>
  <si>
    <t>-</t>
  </si>
  <si>
    <t>QA</t>
  </si>
  <si>
    <t>06th Feb</t>
  </si>
  <si>
    <t>LINKED CRs</t>
  </si>
  <si>
    <t>DELIVERY</t>
  </si>
  <si>
    <t>STATUS</t>
  </si>
  <si>
    <t>Pass</t>
  </si>
  <si>
    <t>LFIUAT001 - Proposoal enhancement</t>
  </si>
  <si>
    <t>AML Enhancement</t>
  </si>
  <si>
    <t>AML Scoring</t>
  </si>
  <si>
    <t>AML Enhancement (Transaction Monitoring)</t>
  </si>
  <si>
    <t>LFIUAT010 - Modification Voting Approval Screen</t>
  </si>
  <si>
    <t>LFIUAT011 - Adjusment Voting Screen Details</t>
  </si>
  <si>
    <t>Club Asset</t>
  </si>
  <si>
    <t>13th March</t>
  </si>
  <si>
    <t>In Development</t>
  </si>
  <si>
    <t>LFIUAT004 - Contract Activation Enhancement</t>
  </si>
  <si>
    <t>Calculation Simulation</t>
  </si>
  <si>
    <t>LFI014 - Stationary Check</t>
  </si>
  <si>
    <t>Journel</t>
  </si>
  <si>
    <t>AR Monitoring and Assignment</t>
  </si>
  <si>
    <t>27th March</t>
  </si>
  <si>
    <t>In development</t>
  </si>
  <si>
    <t>Waiting for Bi-Lingual Documents</t>
  </si>
  <si>
    <t>N/A</t>
  </si>
  <si>
    <t>No Requirement shared yet</t>
  </si>
  <si>
    <t>Yes</t>
  </si>
  <si>
    <t>No</t>
  </si>
  <si>
    <t>Core System Readiness (NETSOL)</t>
  </si>
  <si>
    <t>Production Business Case Exists</t>
  </si>
  <si>
    <t>Credit Line Management Enhancement</t>
    <phoneticPr fontId="37" type="noConversion"/>
  </si>
  <si>
    <t>TBD</t>
    <phoneticPr fontId="37" type="noConversion"/>
  </si>
  <si>
    <t>LFIUAT003 - Application of Disbursement Mandatory Field Modification</t>
    <phoneticPr fontId="37" type="noConversion"/>
  </si>
  <si>
    <t>LFIUAT007 - PDC Auto Allocate Features</t>
    <phoneticPr fontId="37" type="noConversion"/>
  </si>
  <si>
    <t>Structured Type - Principal %
LFIUAT006 - Cross Default/Cross Collateral Function</t>
    <phoneticPr fontId="37" type="noConversion"/>
  </si>
  <si>
    <t>13th March
TBD</t>
    <phoneticPr fontId="37" type="noConversion"/>
  </si>
  <si>
    <t>Department</t>
  </si>
  <si>
    <t>BS</t>
  </si>
  <si>
    <t>AML</t>
  </si>
  <si>
    <t>CA</t>
  </si>
  <si>
    <t>Accounting</t>
  </si>
  <si>
    <t>Decision Engine</t>
  </si>
  <si>
    <t>Decision Engine Rules</t>
  </si>
  <si>
    <t>CAP Application Enhancement</t>
  </si>
  <si>
    <t>SYSTEM READINESS</t>
    <phoneticPr fontId="37" type="noConversion"/>
  </si>
  <si>
    <t>1. Asset Appraisal</t>
    <phoneticPr fontId="37" type="noConversion"/>
  </si>
  <si>
    <t>2. Payment Receive</t>
    <phoneticPr fontId="37" type="noConversion"/>
  </si>
  <si>
    <t>1. Stop Engine</t>
    <phoneticPr fontId="37" type="noConversion"/>
  </si>
  <si>
    <t>1. Block Supply</t>
    <phoneticPr fontId="37" type="noConversion"/>
  </si>
  <si>
    <t>1.Filling Document</t>
    <phoneticPr fontId="37" type="noConversion"/>
  </si>
  <si>
    <t>1.Emoticons</t>
    <phoneticPr fontId="37" type="noConversion"/>
  </si>
  <si>
    <t>Business SOP</t>
    <phoneticPr fontId="37" type="noConversion"/>
  </si>
  <si>
    <t>1. Accounting Generation</t>
    <phoneticPr fontId="37" type="noConversion"/>
  </si>
  <si>
    <t>4. Accounting Generation</t>
    <phoneticPr fontId="37" type="noConversion"/>
  </si>
  <si>
    <t>Start time</t>
    <phoneticPr fontId="37" type="noConversion"/>
  </si>
  <si>
    <t>Comment</t>
    <phoneticPr fontId="37" type="noConversion"/>
  </si>
  <si>
    <t>Decision Engine</t>
    <phoneticPr fontId="37" type="noConversion"/>
  </si>
  <si>
    <t>GPS Integration</t>
    <phoneticPr fontId="37" type="noConversion"/>
  </si>
  <si>
    <t>Parameter List</t>
    <phoneticPr fontId="37" type="noConversion"/>
  </si>
  <si>
    <t>Define MVP</t>
    <phoneticPr fontId="37" type="noConversion"/>
  </si>
  <si>
    <t>Current Business SOP</t>
    <phoneticPr fontId="37" type="noConversion"/>
  </si>
  <si>
    <t>Automation Target %</t>
    <phoneticPr fontId="37" type="noConversion"/>
  </si>
  <si>
    <t>Automation Achievement %</t>
    <phoneticPr fontId="37" type="noConversion"/>
  </si>
  <si>
    <t>OCR</t>
    <phoneticPr fontId="37" type="noConversion"/>
  </si>
  <si>
    <t>Onsite check, Manual Review, Decision Engine</t>
    <phoneticPr fontId="37" type="noConversion"/>
  </si>
  <si>
    <t>e-Sign</t>
    <phoneticPr fontId="37" type="noConversion"/>
  </si>
  <si>
    <t>Bank integration</t>
    <phoneticPr fontId="37" type="noConversion"/>
  </si>
  <si>
    <t>Manual follow-up, Notification</t>
    <phoneticPr fontId="37" type="noConversion"/>
  </si>
  <si>
    <t>Legal and customer negotiation</t>
    <phoneticPr fontId="37" type="noConversion"/>
  </si>
  <si>
    <t>Manual process</t>
    <phoneticPr fontId="37" type="noConversion"/>
  </si>
  <si>
    <t>Manual process case by case</t>
    <phoneticPr fontId="37" type="noConversion"/>
  </si>
  <si>
    <t>On-site execution</t>
    <phoneticPr fontId="37" type="noConversion"/>
  </si>
  <si>
    <t>Manual and legal process case by case</t>
    <phoneticPr fontId="37" type="noConversion"/>
  </si>
  <si>
    <t xml:space="preserve">Manual Review </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</si>
</sst>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40">
    <font>
      <sz val="11"/>
      <color theme="1"/>
      <name val="Arial"/>
      <charset val="134"/>
      <scheme val="minor"/>
    </font>
    <font>
      <b/>
      <sz val="11"/>
      <color theme="1"/>
      <name val="Arial"/>
      <family val="2"/>
    </font>
    <font>
      <sz val="6"/>
      <color theme="1"/>
      <name val="Arial"/>
      <family val="2"/>
    </font>
    <font>
      <b/>
      <sz val="11"/>
      <color theme="0"/>
      <name val="Arial"/>
      <family val="2"/>
    </font>
    <font>
      <sz val="10"/>
      <color theme="1"/>
      <name val="Arial"/>
      <family val="2"/>
      <scheme val="minor"/>
    </font>
    <font>
      <b/>
      <sz val="11"/>
      <color rgb="FFFFFF00"/>
      <name val="Arial"/>
      <family val="2"/>
    </font>
    <font>
      <b/>
      <sz val="11"/>
      <color rgb="FF00FF00"/>
      <name val="Arial"/>
      <family val="2"/>
    </font>
    <font>
      <b/>
      <sz val="6"/>
      <color theme="1"/>
      <name val="Arial"/>
      <family val="2"/>
    </font>
    <font>
      <sz val="11"/>
      <color theme="0"/>
      <name val="Arial"/>
      <family val="2"/>
    </font>
    <font>
      <sz val="11"/>
      <color theme="1"/>
      <name val="Arial"/>
      <family val="2"/>
    </font>
    <font>
      <sz val="10"/>
      <name val="Arial"/>
      <family val="2"/>
      <scheme val="minor"/>
    </font>
    <font>
      <sz val="10"/>
      <color rgb="FFFF0000"/>
      <name val="Arial"/>
      <family val="2"/>
    </font>
    <font>
      <sz val="11"/>
      <color rgb="FFFF3300"/>
      <name val="Arial"/>
      <family val="2"/>
    </font>
    <font>
      <sz val="10"/>
      <color theme="0"/>
      <name val="Arial"/>
      <family val="2"/>
      <scheme val="minor"/>
    </font>
    <font>
      <b/>
      <sz val="26"/>
      <color theme="9"/>
      <name val="Arial"/>
      <family val="2"/>
      <scheme val="minor"/>
    </font>
    <font>
      <b/>
      <sz val="10"/>
      <color theme="4" tint="-0.249977111117893"/>
      <name val="Arial"/>
      <family val="2"/>
      <scheme val="minor"/>
    </font>
    <font>
      <b/>
      <sz val="16"/>
      <color theme="9"/>
      <name val="Arial"/>
      <family val="2"/>
      <scheme val="minor"/>
    </font>
    <font>
      <b/>
      <sz val="10"/>
      <color theme="9"/>
      <name val="Arial"/>
      <family val="2"/>
      <scheme val="minor"/>
    </font>
    <font>
      <b/>
      <sz val="10"/>
      <name val="Arial"/>
      <family val="2"/>
      <scheme val="minor"/>
    </font>
    <font>
      <b/>
      <sz val="10"/>
      <color theme="1"/>
      <name val="Arial"/>
      <family val="2"/>
      <scheme val="minor"/>
    </font>
    <font>
      <sz val="10"/>
      <name val="Arial"/>
      <family val="2"/>
    </font>
    <font>
      <i/>
      <sz val="10"/>
      <color theme="1"/>
      <name val="Arial"/>
      <family val="2"/>
      <scheme val="minor"/>
    </font>
    <font>
      <b/>
      <sz val="10"/>
      <color theme="1" tint="0.499984740745262"/>
      <name val="Arial"/>
      <family val="2"/>
      <scheme val="minor"/>
    </font>
    <font>
      <sz val="10"/>
      <color theme="1" tint="0.499984740745262"/>
      <name val="Arial"/>
      <family val="2"/>
      <scheme val="minor"/>
    </font>
    <font>
      <sz val="11"/>
      <color theme="1"/>
      <name val="Arial"/>
      <family val="2"/>
      <scheme val="minor"/>
    </font>
    <font>
      <u/>
      <sz val="11"/>
      <color indexed="12"/>
      <name val="Arial"/>
      <family val="2"/>
    </font>
    <font>
      <b/>
      <sz val="22"/>
      <color theme="1" tint="0.34998626667073579"/>
      <name val="Arial Black"/>
      <family val="2"/>
      <scheme val="major"/>
    </font>
    <font>
      <sz val="14"/>
      <color theme="1"/>
      <name val="Arial"/>
      <family val="2"/>
      <scheme val="minor"/>
    </font>
    <font>
      <sz val="11"/>
      <color theme="0"/>
      <name val="Arial"/>
      <family val="2"/>
      <scheme val="minor"/>
    </font>
    <font>
      <sz val="9"/>
      <name val="宋体"/>
      <family val="3"/>
      <charset val="134"/>
    </font>
    <font>
      <b/>
      <sz val="9"/>
      <name val="宋体"/>
      <family val="3"/>
      <charset val="134"/>
    </font>
    <font>
      <b/>
      <sz val="10"/>
      <color theme="1"/>
      <name val="Arial"/>
      <family val="2"/>
      <scheme val="minor"/>
    </font>
    <font>
      <b/>
      <sz val="10"/>
      <name val="Arial"/>
      <family val="2"/>
      <scheme val="minor"/>
    </font>
    <font>
      <sz val="10"/>
      <name val="Arial"/>
      <family val="2"/>
      <scheme val="minor"/>
    </font>
    <font>
      <b/>
      <sz val="11"/>
      <color theme="0"/>
      <name val="Arial"/>
      <family val="2"/>
    </font>
    <font>
      <b/>
      <sz val="10"/>
      <color rgb="FFFF3300"/>
      <name val="Arial"/>
      <family val="2"/>
    </font>
    <font>
      <b/>
      <sz val="6"/>
      <color theme="1"/>
      <name val="Arial"/>
      <family val="2"/>
    </font>
    <font>
      <sz val="9"/>
      <name val="Arial"/>
      <family val="2"/>
      <scheme val="minor"/>
    </font>
    <font>
      <b/>
      <sz val="12"/>
      <color theme="1"/>
      <name val="Arial"/>
      <family val="2"/>
      <scheme val="minor"/>
    </font>
    <font>
      <sz val="11"/>
      <name val="Arial"/>
      <family val="2"/>
    </font>
  </fonts>
  <fills count="22">
    <fill>
      <patternFill patternType="none"/>
    </fill>
    <fill>
      <patternFill patternType="gray125"/>
    </fill>
    <fill>
      <patternFill patternType="solid">
        <fgColor theme="6" tint="0.59999389629810485"/>
        <bgColor indexed="64"/>
      </patternFill>
    </fill>
    <fill>
      <patternFill patternType="solid">
        <fgColor rgb="FF000099"/>
        <bgColor indexed="64"/>
      </patternFill>
    </fill>
    <fill>
      <patternFill patternType="solid">
        <fgColor rgb="FF0000FF"/>
        <bgColor indexed="64"/>
      </patternFill>
    </fill>
    <fill>
      <patternFill patternType="solid">
        <fgColor theme="9" tint="0.59999389629810485"/>
        <bgColor indexed="64"/>
      </patternFill>
    </fill>
    <fill>
      <patternFill patternType="solid">
        <fgColor rgb="FF3366FF"/>
        <bgColor indexed="64"/>
      </patternFill>
    </fill>
    <fill>
      <patternFill patternType="solid">
        <fgColor theme="0" tint="-4.9989318521683403E-2"/>
        <bgColor theme="4"/>
      </patternFill>
    </fill>
    <fill>
      <patternFill patternType="solid">
        <fgColor theme="0" tint="-4.9989318521683403E-2"/>
        <bgColor indexed="64"/>
      </patternFill>
    </fill>
    <fill>
      <patternFill patternType="solid">
        <fgColor theme="4" tint="0.59996337778862885"/>
        <bgColor indexed="64"/>
      </patternFill>
    </fill>
    <fill>
      <patternFill patternType="solid">
        <fgColor theme="4" tint="0.79992065187536243"/>
        <bgColor indexed="64"/>
      </patternFill>
    </fill>
    <fill>
      <patternFill patternType="solid">
        <fgColor theme="5" tint="0.39991454817346722"/>
        <bgColor indexed="64"/>
      </patternFill>
    </fill>
    <fill>
      <patternFill patternType="solid">
        <fgColor theme="5" tint="0.79992065187536243"/>
        <bgColor indexed="64"/>
      </patternFill>
    </fill>
    <fill>
      <patternFill patternType="solid">
        <fgColor theme="6" tint="0.39991454817346722"/>
        <bgColor indexed="64"/>
      </patternFill>
    </fill>
    <fill>
      <patternFill patternType="solid">
        <fgColor theme="6" tint="0.79992065187536243"/>
        <bgColor indexed="64"/>
      </patternFill>
    </fill>
    <fill>
      <patternFill patternType="solid">
        <fgColor theme="8" tint="0.39991454817346722"/>
        <bgColor indexed="64"/>
      </patternFill>
    </fill>
    <fill>
      <patternFill patternType="solid">
        <fgColor theme="8" tint="0.79992065187536243"/>
        <bgColor indexed="64"/>
      </patternFill>
    </fill>
    <fill>
      <patternFill patternType="solid">
        <fgColor theme="0" tint="-0.14990691854609822"/>
        <bgColor indexed="64"/>
      </patternFill>
    </fill>
    <fill>
      <patternFill patternType="solid">
        <fgColor theme="8" tint="0.59996337778862885"/>
        <bgColor indexed="64"/>
      </patternFill>
    </fill>
    <fill>
      <patternFill patternType="solid">
        <fgColor theme="4" tint="0.39991454817346722"/>
        <bgColor indexed="64"/>
      </patternFill>
    </fill>
    <fill>
      <patternFill patternType="solid">
        <fgColor theme="4" tint="0.59999389629810485"/>
        <bgColor indexed="64"/>
      </patternFill>
    </fill>
    <fill>
      <patternFill patternType="solid">
        <fgColor theme="0"/>
        <bgColor indexed="64"/>
      </patternFill>
    </fill>
  </fills>
  <borders count="30">
    <border>
      <left/>
      <right/>
      <top/>
      <bottom/>
      <diagonal/>
    </border>
    <border>
      <left/>
      <right style="thin">
        <color theme="0"/>
      </right>
      <top/>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rgb="FF3366FF"/>
      </left>
      <right style="thin">
        <color rgb="FF3366FF"/>
      </right>
      <top style="thin">
        <color rgb="FF3366FF"/>
      </top>
      <bottom style="thin">
        <color rgb="FF3366FF"/>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style="thin">
        <color theme="0"/>
      </bottom>
      <diagonal/>
    </border>
    <border>
      <left/>
      <right style="thin">
        <color theme="0"/>
      </right>
      <top style="thin">
        <color theme="0"/>
      </top>
      <bottom/>
      <diagonal/>
    </border>
    <border>
      <left/>
      <right style="thin">
        <color theme="0"/>
      </right>
      <top style="thin">
        <color theme="0"/>
      </top>
      <bottom style="thin">
        <color theme="0"/>
      </bottom>
      <diagonal/>
    </border>
    <border>
      <left style="thin">
        <color theme="0"/>
      </left>
      <right/>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1" tint="0.499984740745262"/>
      </top>
      <bottom/>
      <diagonal/>
    </border>
    <border>
      <left/>
      <right/>
      <top/>
      <bottom style="thin">
        <color theme="1" tint="0.499984740745262"/>
      </bottom>
      <diagonal/>
    </border>
    <border>
      <left/>
      <right/>
      <top style="medium">
        <color theme="0" tint="-0.14990691854609822"/>
      </top>
      <bottom style="medium">
        <color theme="0" tint="-0.1499069185460982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0" tint="-0.1498764000366222"/>
      </left>
      <right style="thin">
        <color theme="0" tint="-0.1498764000366222"/>
      </right>
      <top/>
      <bottom/>
      <diagonal/>
    </border>
    <border>
      <left/>
      <right/>
      <top style="thin">
        <color theme="0" tint="-4.9989318521683403E-2"/>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2">
    <xf numFmtId="0" fontId="0" fillId="0" borderId="0"/>
    <xf numFmtId="9" fontId="24" fillId="0" borderId="0" applyFont="0" applyFill="0" applyBorder="0" applyAlignment="0" applyProtection="0"/>
    <xf numFmtId="0" fontId="25" fillId="0" borderId="0" applyNumberFormat="0" applyFill="0" applyBorder="0" applyAlignment="0" applyProtection="0">
      <alignment vertical="top"/>
      <protection locked="0"/>
    </xf>
    <xf numFmtId="0" fontId="26" fillId="0" borderId="0" applyNumberFormat="0" applyFill="0" applyBorder="0" applyAlignment="0" applyProtection="0"/>
    <xf numFmtId="0" fontId="27" fillId="0" borderId="0" applyNumberFormat="0" applyFill="0" applyAlignment="0" applyProtection="0"/>
    <xf numFmtId="0" fontId="27" fillId="0" borderId="0" applyNumberFormat="0" applyFill="0" applyProtection="0">
      <alignment vertical="top"/>
    </xf>
    <xf numFmtId="0" fontId="24" fillId="0" borderId="0" applyNumberFormat="0" applyFill="0" applyProtection="0">
      <alignment horizontal="right" indent="1"/>
    </xf>
    <xf numFmtId="164" fontId="24" fillId="0" borderId="16" applyFill="0">
      <alignment horizontal="center" vertical="center"/>
    </xf>
    <xf numFmtId="0" fontId="24" fillId="0" borderId="16" applyFill="0">
      <alignment horizontal="center" vertical="center"/>
    </xf>
    <xf numFmtId="165" fontId="24" fillId="0" borderId="29">
      <alignment horizontal="center" vertical="center"/>
    </xf>
    <xf numFmtId="0" fontId="24" fillId="0" borderId="16" applyFill="0">
      <alignment horizontal="left" vertical="center" indent="2"/>
    </xf>
    <xf numFmtId="0" fontId="28" fillId="0" borderId="0"/>
  </cellStyleXfs>
  <cellXfs count="195">
    <xf numFmtId="0" fontId="0" fillId="0" borderId="0" xfId="0"/>
    <xf numFmtId="0" fontId="1" fillId="0" borderId="0" xfId="0" applyFont="1" applyAlignment="1">
      <alignment horizontal="center" vertical="center"/>
    </xf>
    <xf numFmtId="0" fontId="2" fillId="0" borderId="0" xfId="0" applyFont="1"/>
    <xf numFmtId="0" fontId="0" fillId="0" borderId="0" xfId="0" applyAlignment="1">
      <alignment vertical="center"/>
    </xf>
    <xf numFmtId="0" fontId="3" fillId="3" borderId="3" xfId="0" applyFont="1" applyFill="1" applyBorder="1" applyAlignment="1">
      <alignment horizontal="center" vertical="center" wrapText="1"/>
    </xf>
    <xf numFmtId="0" fontId="3" fillId="4" borderId="4" xfId="0" applyFont="1" applyFill="1" applyBorder="1" applyAlignment="1">
      <alignment vertical="center"/>
    </xf>
    <xf numFmtId="164" fontId="4" fillId="0" borderId="5" xfId="0" applyNumberFormat="1" applyFont="1" applyBorder="1" applyAlignment="1">
      <alignment horizontal="center" vertical="center"/>
    </xf>
    <xf numFmtId="0" fontId="5" fillId="4" borderId="4" xfId="0" applyFont="1" applyFill="1" applyBorder="1" applyAlignment="1">
      <alignment vertical="center"/>
    </xf>
    <xf numFmtId="0" fontId="6" fillId="4" borderId="4" xfId="0" applyFont="1" applyFill="1" applyBorder="1" applyAlignment="1">
      <alignment vertical="center"/>
    </xf>
    <xf numFmtId="0" fontId="2" fillId="0" borderId="3" xfId="0" applyFont="1" applyBorder="1"/>
    <xf numFmtId="0" fontId="7" fillId="0" borderId="3" xfId="0" applyFont="1" applyBorder="1"/>
    <xf numFmtId="0" fontId="2" fillId="0" borderId="6" xfId="0" applyFont="1" applyBorder="1"/>
    <xf numFmtId="0" fontId="3" fillId="4" borderId="3" xfId="0" applyFont="1" applyFill="1" applyBorder="1" applyAlignment="1">
      <alignment vertical="center"/>
    </xf>
    <xf numFmtId="0" fontId="6" fillId="4" borderId="3" xfId="0" applyFont="1" applyFill="1" applyBorder="1" applyAlignment="1">
      <alignment vertical="center"/>
    </xf>
    <xf numFmtId="0" fontId="8" fillId="3" borderId="9" xfId="0" applyFont="1" applyFill="1" applyBorder="1" applyAlignment="1">
      <alignment horizontal="left" vertical="center" wrapText="1"/>
    </xf>
    <xf numFmtId="0" fontId="9" fillId="0" borderId="0" xfId="0" applyFont="1" applyAlignment="1">
      <alignment horizontal="left" vertical="center" wrapText="1"/>
    </xf>
    <xf numFmtId="164" fontId="10" fillId="0" borderId="5" xfId="0" applyNumberFormat="1" applyFont="1" applyBorder="1" applyAlignment="1">
      <alignment horizontal="center" vertical="center"/>
    </xf>
    <xf numFmtId="9" fontId="0" fillId="5" borderId="10" xfId="0" applyNumberFormat="1" applyFill="1" applyBorder="1" applyAlignment="1">
      <alignment horizontal="center" vertical="center"/>
    </xf>
    <xf numFmtId="9" fontId="0" fillId="5" borderId="3" xfId="1" applyFont="1" applyFill="1" applyBorder="1" applyAlignment="1">
      <alignment horizontal="center" vertical="center"/>
    </xf>
    <xf numFmtId="9" fontId="12" fillId="5" borderId="10" xfId="0" applyNumberFormat="1" applyFont="1" applyFill="1" applyBorder="1" applyAlignment="1">
      <alignment horizontal="center" vertical="center"/>
    </xf>
    <xf numFmtId="0" fontId="2" fillId="0" borderId="3" xfId="0" applyFont="1" applyBorder="1" applyAlignment="1">
      <alignment horizontal="center"/>
    </xf>
    <xf numFmtId="9" fontId="2" fillId="0" borderId="3" xfId="1" applyFont="1" applyFill="1" applyBorder="1" applyAlignment="1">
      <alignment horizontal="center"/>
    </xf>
    <xf numFmtId="9" fontId="0" fillId="5" borderId="3" xfId="0" applyNumberFormat="1" applyFill="1" applyBorder="1" applyAlignment="1">
      <alignment horizontal="center" vertical="center"/>
    </xf>
    <xf numFmtId="0" fontId="1" fillId="0" borderId="0" xfId="0" applyFont="1" applyAlignment="1">
      <alignment horizontal="center" vertical="center" wrapText="1"/>
    </xf>
    <xf numFmtId="0" fontId="8" fillId="4" borderId="12"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9" fillId="0" borderId="0" xfId="0" applyFont="1" applyAlignment="1">
      <alignment horizontal="center" vertical="center" wrapText="1"/>
    </xf>
    <xf numFmtId="9" fontId="0" fillId="0" borderId="3" xfId="1" applyFont="1" applyFill="1" applyBorder="1" applyAlignment="1">
      <alignment horizontal="center" vertical="center"/>
    </xf>
    <xf numFmtId="0" fontId="3" fillId="4" borderId="3" xfId="0" applyFont="1" applyFill="1" applyBorder="1" applyAlignment="1">
      <alignment vertical="center" wrapText="1"/>
    </xf>
    <xf numFmtId="9" fontId="0" fillId="0" borderId="0" xfId="1" applyFont="1" applyFill="1" applyBorder="1" applyAlignment="1">
      <alignment horizontal="center" vertical="center"/>
    </xf>
    <xf numFmtId="0" fontId="4" fillId="0" borderId="0" xfId="0" applyFont="1" applyAlignment="1">
      <alignment vertical="center"/>
    </xf>
    <xf numFmtId="0" fontId="13" fillId="0" borderId="0" xfId="11" applyFont="1"/>
    <xf numFmtId="0" fontId="4" fillId="0" borderId="0" xfId="0" applyFont="1"/>
    <xf numFmtId="0" fontId="4" fillId="0" borderId="0" xfId="0" applyFont="1" applyAlignment="1">
      <alignment horizontal="center"/>
    </xf>
    <xf numFmtId="0" fontId="13" fillId="0" borderId="0" xfId="11" applyFont="1" applyAlignment="1">
      <alignment wrapText="1"/>
    </xf>
    <xf numFmtId="0" fontId="14" fillId="0" borderId="0" xfId="3" applyFont="1" applyAlignment="1">
      <alignment horizontal="left"/>
    </xf>
    <xf numFmtId="0" fontId="15" fillId="0" borderId="0" xfId="0" applyFont="1"/>
    <xf numFmtId="0" fontId="10" fillId="0" borderId="0" xfId="0" applyFont="1" applyAlignment="1">
      <alignment horizontal="center"/>
    </xf>
    <xf numFmtId="0" fontId="16" fillId="0" borderId="0" xfId="4" applyFont="1" applyAlignment="1">
      <alignment horizontal="left" vertical="center" indent="1"/>
    </xf>
    <xf numFmtId="0" fontId="17" fillId="0" borderId="0" xfId="5" applyFont="1" applyAlignment="1">
      <alignment horizontal="left" vertical="center" indent="1"/>
    </xf>
    <xf numFmtId="0" fontId="18" fillId="0" borderId="0" xfId="0" applyFont="1" applyAlignment="1">
      <alignment horizontal="left" indent="1"/>
    </xf>
    <xf numFmtId="0" fontId="4" fillId="0" borderId="0" xfId="6" applyFont="1" applyAlignment="1">
      <alignment horizontal="center"/>
    </xf>
    <xf numFmtId="0" fontId="10" fillId="0" borderId="0" xfId="2" applyFont="1" applyAlignment="1" applyProtection="1">
      <alignment horizontal="left" vertical="top" indent="1"/>
    </xf>
    <xf numFmtId="0" fontId="4" fillId="0" borderId="0" xfId="0" applyFont="1" applyAlignment="1">
      <alignment wrapText="1"/>
    </xf>
    <xf numFmtId="0" fontId="19" fillId="9" borderId="0" xfId="0" applyFont="1" applyFill="1" applyAlignment="1">
      <alignment vertical="center"/>
    </xf>
    <xf numFmtId="0" fontId="4" fillId="9" borderId="0" xfId="8" applyFont="1" applyFill="1" applyBorder="1" applyAlignment="1">
      <alignment vertical="center"/>
    </xf>
    <xf numFmtId="9" fontId="10" fillId="9" borderId="0" xfId="1" applyFont="1" applyFill="1" applyBorder="1" applyAlignment="1">
      <alignment horizontal="center" vertical="center"/>
    </xf>
    <xf numFmtId="0" fontId="4" fillId="10" borderId="0" xfId="0" applyFont="1" applyFill="1" applyAlignment="1">
      <alignment vertical="top" wrapText="1"/>
    </xf>
    <xf numFmtId="9" fontId="10" fillId="10" borderId="0" xfId="1" applyFont="1" applyFill="1" applyBorder="1" applyAlignment="1">
      <alignment horizontal="center" vertical="center"/>
    </xf>
    <xf numFmtId="0" fontId="19" fillId="11" borderId="0" xfId="0" applyFont="1" applyFill="1" applyAlignment="1">
      <alignment vertical="center"/>
    </xf>
    <xf numFmtId="0" fontId="4" fillId="11" borderId="0" xfId="8" applyFont="1" applyFill="1" applyBorder="1" applyAlignment="1">
      <alignment vertical="center"/>
    </xf>
    <xf numFmtId="9" fontId="10" fillId="11" borderId="0" xfId="1" applyFont="1" applyFill="1" applyBorder="1" applyAlignment="1">
      <alignment horizontal="center" vertical="center"/>
    </xf>
    <xf numFmtId="0" fontId="4" fillId="12" borderId="0" xfId="0" applyFont="1" applyFill="1" applyAlignment="1">
      <alignment vertical="top" wrapText="1"/>
    </xf>
    <xf numFmtId="9" fontId="10" fillId="12" borderId="0" xfId="1" applyFont="1" applyFill="1" applyBorder="1" applyAlignment="1">
      <alignment horizontal="center" vertical="center"/>
    </xf>
    <xf numFmtId="0" fontId="19" fillId="13" borderId="0" xfId="0" applyFont="1" applyFill="1" applyAlignment="1">
      <alignment vertical="center"/>
    </xf>
    <xf numFmtId="0" fontId="4" fillId="13" borderId="0" xfId="8" applyFont="1" applyFill="1" applyBorder="1" applyAlignment="1">
      <alignment vertical="center"/>
    </xf>
    <xf numFmtId="9" fontId="10" fillId="13" borderId="0" xfId="1" applyFont="1" applyFill="1" applyBorder="1" applyAlignment="1">
      <alignment horizontal="center" vertical="center"/>
    </xf>
    <xf numFmtId="0" fontId="4" fillId="14" borderId="0" xfId="0" applyFont="1" applyFill="1" applyAlignment="1">
      <alignment vertical="top" wrapText="1"/>
    </xf>
    <xf numFmtId="9" fontId="10" fillId="14" borderId="0" xfId="1" applyFont="1" applyFill="1" applyBorder="1" applyAlignment="1">
      <alignment horizontal="center" vertical="center"/>
    </xf>
    <xf numFmtId="0" fontId="19" fillId="15" borderId="0" xfId="0" applyFont="1" applyFill="1" applyAlignment="1">
      <alignment vertical="center"/>
    </xf>
    <xf numFmtId="0" fontId="4" fillId="15" borderId="0" xfId="8" applyFont="1" applyFill="1" applyBorder="1" applyAlignment="1">
      <alignment vertical="center"/>
    </xf>
    <xf numFmtId="9" fontId="10" fillId="15" borderId="0" xfId="1" applyFont="1" applyFill="1" applyBorder="1" applyAlignment="1">
      <alignment horizontal="center" vertical="center"/>
    </xf>
    <xf numFmtId="0" fontId="4" fillId="16" borderId="0" xfId="0" applyFont="1" applyFill="1" applyAlignment="1">
      <alignment vertical="top" wrapText="1"/>
    </xf>
    <xf numFmtId="9" fontId="10" fillId="16" borderId="0" xfId="1" applyFont="1" applyFill="1" applyBorder="1" applyAlignment="1">
      <alignment horizontal="center" vertical="center"/>
    </xf>
    <xf numFmtId="0" fontId="10" fillId="0" borderId="0" xfId="0" applyFont="1" applyAlignment="1">
      <alignment horizontal="center" vertical="center"/>
    </xf>
    <xf numFmtId="0" fontId="10" fillId="0" borderId="0" xfId="0" applyFont="1"/>
    <xf numFmtId="164" fontId="4" fillId="9" borderId="0" xfId="0" applyNumberFormat="1" applyFont="1" applyFill="1" applyAlignment="1">
      <alignment horizontal="center" vertical="center"/>
    </xf>
    <xf numFmtId="164" fontId="10" fillId="9" borderId="0" xfId="0" applyNumberFormat="1" applyFont="1" applyFill="1" applyAlignment="1">
      <alignment horizontal="center" vertical="center"/>
    </xf>
    <xf numFmtId="0" fontId="10" fillId="0" borderId="16" xfId="0" applyFont="1" applyBorder="1" applyAlignment="1">
      <alignment horizontal="center" vertical="center"/>
    </xf>
    <xf numFmtId="164" fontId="4" fillId="10" borderId="0" xfId="7" applyFont="1" applyFill="1" applyBorder="1">
      <alignment horizontal="center" vertical="center"/>
    </xf>
    <xf numFmtId="164" fontId="4" fillId="11" borderId="0" xfId="0" applyNumberFormat="1" applyFont="1" applyFill="1" applyAlignment="1">
      <alignment horizontal="center" vertical="center"/>
    </xf>
    <xf numFmtId="164" fontId="10" fillId="11" borderId="0" xfId="0" applyNumberFormat="1" applyFont="1" applyFill="1" applyAlignment="1">
      <alignment horizontal="center" vertical="center"/>
    </xf>
    <xf numFmtId="164" fontId="4" fillId="12" borderId="0" xfId="7" applyFont="1" applyFill="1" applyBorder="1">
      <alignment horizontal="center" vertical="center"/>
    </xf>
    <xf numFmtId="164" fontId="4" fillId="13" borderId="0" xfId="0" applyNumberFormat="1" applyFont="1" applyFill="1" applyAlignment="1">
      <alignment horizontal="center" vertical="center"/>
    </xf>
    <xf numFmtId="164" fontId="10" fillId="13" borderId="0" xfId="0" applyNumberFormat="1" applyFont="1" applyFill="1" applyAlignment="1">
      <alignment horizontal="center" vertical="center"/>
    </xf>
    <xf numFmtId="164" fontId="4" fillId="14" borderId="0" xfId="7" applyFont="1" applyFill="1" applyBorder="1">
      <alignment horizontal="center" vertical="center"/>
    </xf>
    <xf numFmtId="164" fontId="4" fillId="15" borderId="0" xfId="0" applyNumberFormat="1" applyFont="1" applyFill="1" applyAlignment="1">
      <alignment horizontal="center" vertical="center"/>
    </xf>
    <xf numFmtId="164" fontId="10" fillId="15" borderId="0" xfId="0" applyNumberFormat="1" applyFont="1" applyFill="1" applyAlignment="1">
      <alignment horizontal="center" vertical="center"/>
    </xf>
    <xf numFmtId="164" fontId="4" fillId="16" borderId="0" xfId="7" applyFont="1" applyFill="1" applyBorder="1">
      <alignment horizontal="center" vertical="center"/>
    </xf>
    <xf numFmtId="167" fontId="18" fillId="17" borderId="19" xfId="0" applyNumberFormat="1" applyFont="1" applyFill="1" applyBorder="1" applyAlignment="1">
      <alignment horizontal="center" vertical="center"/>
    </xf>
    <xf numFmtId="0" fontId="19" fillId="8" borderId="20" xfId="0" applyFont="1" applyFill="1" applyBorder="1" applyAlignment="1">
      <alignment horizontal="center" vertical="center" shrinkToFit="1"/>
    </xf>
    <xf numFmtId="0" fontId="19" fillId="8" borderId="21" xfId="0" applyFont="1" applyFill="1" applyBorder="1" applyAlignment="1">
      <alignment horizontal="center" vertical="center" shrinkToFit="1"/>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0" fontId="4" fillId="0" borderId="26" xfId="0" applyFont="1" applyBorder="1" applyAlignment="1">
      <alignment vertical="center"/>
    </xf>
    <xf numFmtId="167" fontId="18" fillId="17" borderId="17" xfId="0" applyNumberFormat="1" applyFont="1" applyFill="1" applyBorder="1" applyAlignment="1">
      <alignment horizontal="center" vertical="center"/>
    </xf>
    <xf numFmtId="167" fontId="18" fillId="17" borderId="27" xfId="0" applyNumberFormat="1" applyFont="1" applyFill="1" applyBorder="1" applyAlignment="1">
      <alignment horizontal="center" vertical="center"/>
    </xf>
    <xf numFmtId="0" fontId="4" fillId="0" borderId="24" xfId="0" applyFont="1" applyBorder="1" applyAlignment="1">
      <alignment horizontal="right" vertical="center"/>
    </xf>
    <xf numFmtId="0" fontId="19" fillId="8" borderId="28" xfId="0" applyFont="1" applyFill="1" applyBorder="1" applyAlignment="1">
      <alignment horizontal="center" vertical="center" shrinkToFit="1"/>
    </xf>
    <xf numFmtId="0" fontId="4" fillId="12" borderId="0" xfId="0" applyFont="1" applyFill="1" applyAlignment="1">
      <alignment vertical="top"/>
    </xf>
    <xf numFmtId="0" fontId="4" fillId="2" borderId="0" xfId="0" applyFont="1" applyFill="1" applyAlignment="1">
      <alignment vertical="top"/>
    </xf>
    <xf numFmtId="0" fontId="4" fillId="2" borderId="0" xfId="0" applyFont="1" applyFill="1" applyAlignment="1">
      <alignment vertical="top" wrapText="1"/>
    </xf>
    <xf numFmtId="9" fontId="10" fillId="2" borderId="0" xfId="1" applyFont="1" applyFill="1" applyBorder="1" applyAlignment="1">
      <alignment horizontal="center" vertical="center"/>
    </xf>
    <xf numFmtId="0" fontId="19" fillId="18" borderId="0" xfId="0" applyFont="1" applyFill="1" applyAlignment="1">
      <alignment vertical="center"/>
    </xf>
    <xf numFmtId="0" fontId="4" fillId="18" borderId="0" xfId="8" applyFont="1" applyFill="1" applyBorder="1" applyAlignment="1">
      <alignment vertical="center"/>
    </xf>
    <xf numFmtId="9" fontId="10" fillId="18" borderId="0" xfId="1" applyFont="1" applyFill="1" applyBorder="1" applyAlignment="1">
      <alignment horizontal="center" vertical="center"/>
    </xf>
    <xf numFmtId="0" fontId="4" fillId="10" borderId="0" xfId="0" applyFont="1" applyFill="1" applyAlignment="1">
      <alignment vertical="top"/>
    </xf>
    <xf numFmtId="164" fontId="11" fillId="10" borderId="0" xfId="7" applyFont="1" applyFill="1" applyBorder="1">
      <alignment horizontal="center" vertical="center"/>
    </xf>
    <xf numFmtId="164" fontId="20" fillId="12" borderId="0" xfId="7" applyFont="1" applyFill="1" applyBorder="1">
      <alignment horizontal="center" vertical="center"/>
    </xf>
    <xf numFmtId="164" fontId="4" fillId="2" borderId="0" xfId="7" applyFont="1" applyFill="1" applyBorder="1">
      <alignment horizontal="center" vertical="center"/>
    </xf>
    <xf numFmtId="164" fontId="4" fillId="18" borderId="0" xfId="0" applyNumberFormat="1" applyFont="1" applyFill="1" applyAlignment="1">
      <alignment horizontal="center" vertical="center"/>
    </xf>
    <xf numFmtId="164" fontId="10" fillId="18" borderId="0" xfId="0" applyNumberFormat="1" applyFont="1" applyFill="1" applyAlignment="1">
      <alignment horizontal="center" vertical="center"/>
    </xf>
    <xf numFmtId="0" fontId="4" fillId="12" borderId="0" xfId="0" applyFont="1" applyFill="1" applyAlignment="1">
      <alignment vertical="center" readingOrder="1"/>
    </xf>
    <xf numFmtId="0" fontId="4" fillId="12" borderId="0" xfId="0" applyFont="1" applyFill="1" applyAlignment="1">
      <alignment vertical="center" wrapText="1" readingOrder="1"/>
    </xf>
    <xf numFmtId="0" fontId="4" fillId="16" borderId="0" xfId="0" applyFont="1" applyFill="1" applyAlignment="1">
      <alignment vertical="top"/>
    </xf>
    <xf numFmtId="0" fontId="4" fillId="16" borderId="0" xfId="0" applyFont="1" applyFill="1"/>
    <xf numFmtId="0" fontId="4" fillId="10" borderId="0" xfId="0" applyFont="1" applyFill="1" applyAlignment="1">
      <alignment wrapText="1"/>
    </xf>
    <xf numFmtId="0" fontId="4" fillId="10" borderId="0" xfId="0" applyFont="1" applyFill="1"/>
    <xf numFmtId="0" fontId="4" fillId="12" borderId="0" xfId="0" applyFont="1" applyFill="1" applyAlignment="1">
      <alignment horizontal="left" vertical="top" wrapText="1"/>
    </xf>
    <xf numFmtId="0" fontId="4" fillId="12" borderId="0" xfId="0" applyFont="1" applyFill="1" applyAlignment="1">
      <alignment horizontal="center" vertical="center" readingOrder="1"/>
    </xf>
    <xf numFmtId="0" fontId="4" fillId="12" borderId="0" xfId="0" applyFont="1" applyFill="1" applyAlignment="1">
      <alignment horizontal="center" vertical="center" wrapText="1" readingOrder="1"/>
    </xf>
    <xf numFmtId="0" fontId="19" fillId="19" borderId="0" xfId="0" applyFont="1" applyFill="1" applyAlignment="1">
      <alignment vertical="center"/>
    </xf>
    <xf numFmtId="0" fontId="4" fillId="19" borderId="0" xfId="8" applyFont="1" applyFill="1" applyBorder="1" applyAlignment="1">
      <alignment vertical="center"/>
    </xf>
    <xf numFmtId="9" fontId="10" fillId="19" borderId="0" xfId="1" applyFont="1" applyFill="1" applyBorder="1" applyAlignment="1">
      <alignment horizontal="center" vertical="center"/>
    </xf>
    <xf numFmtId="0" fontId="4" fillId="20" borderId="0" xfId="0" applyFont="1" applyFill="1" applyAlignment="1">
      <alignment vertical="top" wrapText="1"/>
    </xf>
    <xf numFmtId="9" fontId="10" fillId="20" borderId="0" xfId="1" applyFont="1" applyFill="1" applyBorder="1" applyAlignment="1">
      <alignment horizontal="center" vertical="center"/>
    </xf>
    <xf numFmtId="0" fontId="4" fillId="20" borderId="0" xfId="0" applyFont="1" applyFill="1" applyAlignment="1">
      <alignment vertical="center" readingOrder="1"/>
    </xf>
    <xf numFmtId="0" fontId="4" fillId="20" borderId="0" xfId="0" applyFont="1" applyFill="1" applyAlignment="1">
      <alignment vertical="center" wrapText="1" readingOrder="1"/>
    </xf>
    <xf numFmtId="0" fontId="4" fillId="20" borderId="0" xfId="0" applyFont="1" applyFill="1" applyAlignment="1">
      <alignment vertical="top"/>
    </xf>
    <xf numFmtId="0" fontId="4" fillId="0" borderId="0" xfId="10" applyFont="1" applyBorder="1">
      <alignment horizontal="left" vertical="center" indent="2"/>
    </xf>
    <xf numFmtId="0" fontId="4" fillId="0" borderId="0" xfId="8" applyFont="1" applyBorder="1" applyAlignment="1">
      <alignment vertical="center"/>
    </xf>
    <xf numFmtId="9" fontId="10" fillId="0" borderId="0" xfId="1" applyFont="1" applyBorder="1" applyAlignment="1">
      <alignment horizontal="center" vertical="center"/>
    </xf>
    <xf numFmtId="0" fontId="21" fillId="8" borderId="0" xfId="0" applyFont="1" applyFill="1" applyAlignment="1">
      <alignment horizontal="left" vertical="center" indent="1"/>
    </xf>
    <xf numFmtId="0" fontId="21" fillId="8" borderId="0" xfId="0" applyFont="1" applyFill="1" applyAlignment="1">
      <alignment vertical="center"/>
    </xf>
    <xf numFmtId="9" fontId="10" fillId="8" borderId="0" xfId="1" applyFont="1" applyFill="1" applyBorder="1" applyAlignment="1">
      <alignment horizontal="center" vertical="center"/>
    </xf>
    <xf numFmtId="0" fontId="22" fillId="0" borderId="0" xfId="0" applyFont="1"/>
    <xf numFmtId="0" fontId="23" fillId="0" borderId="0" xfId="2" applyFont="1" applyAlignment="1" applyProtection="1"/>
    <xf numFmtId="164" fontId="4" fillId="19" borderId="0" xfId="0" applyNumberFormat="1" applyFont="1" applyFill="1" applyAlignment="1">
      <alignment horizontal="center" vertical="center"/>
    </xf>
    <xf numFmtId="164" fontId="10" fillId="19" borderId="0" xfId="0" applyNumberFormat="1" applyFont="1" applyFill="1" applyAlignment="1">
      <alignment horizontal="center" vertical="center"/>
    </xf>
    <xf numFmtId="164" fontId="4" fillId="20" borderId="0" xfId="7" applyFont="1" applyFill="1" applyBorder="1">
      <alignment horizontal="center" vertical="center"/>
    </xf>
    <xf numFmtId="164" fontId="4" fillId="0" borderId="0" xfId="7" applyFont="1" applyBorder="1">
      <alignment horizontal="center" vertical="center"/>
    </xf>
    <xf numFmtId="164" fontId="23" fillId="8" borderId="0" xfId="0" applyNumberFormat="1" applyFont="1" applyFill="1" applyAlignment="1">
      <alignment horizontal="center" vertical="center"/>
    </xf>
    <xf numFmtId="164" fontId="10" fillId="8" borderId="0" xfId="0" applyNumberFormat="1" applyFont="1" applyFill="1" applyAlignment="1">
      <alignment horizontal="center" vertical="center"/>
    </xf>
    <xf numFmtId="0" fontId="10" fillId="8" borderId="16" xfId="0" applyFont="1" applyFill="1" applyBorder="1" applyAlignment="1">
      <alignment horizontal="center" vertical="center"/>
    </xf>
    <xf numFmtId="0" fontId="4" fillId="0" borderId="0" xfId="0" applyFont="1" applyAlignment="1">
      <alignment horizontal="right" vertical="center"/>
    </xf>
    <xf numFmtId="0" fontId="13" fillId="0" borderId="0" xfId="0" applyFont="1" applyAlignment="1">
      <alignment horizontal="center"/>
    </xf>
    <xf numFmtId="0" fontId="4" fillId="8" borderId="0" xfId="0" applyFont="1" applyFill="1" applyAlignment="1">
      <alignment vertical="center"/>
    </xf>
    <xf numFmtId="0" fontId="3" fillId="3" borderId="7" xfId="0" applyFont="1" applyFill="1" applyBorder="1" applyAlignment="1">
      <alignment horizontal="center" vertical="center"/>
    </xf>
    <xf numFmtId="164" fontId="10" fillId="0" borderId="0" xfId="0" applyNumberFormat="1" applyFont="1" applyAlignment="1">
      <alignment horizontal="center" vertical="center"/>
    </xf>
    <xf numFmtId="9" fontId="10" fillId="10" borderId="0" xfId="1" applyFont="1" applyFill="1" applyBorder="1" applyAlignment="1">
      <alignment horizontal="center" vertical="center" wrapText="1"/>
    </xf>
    <xf numFmtId="9" fontId="10" fillId="16" borderId="0" xfId="1" applyFont="1" applyFill="1" applyBorder="1" applyAlignment="1">
      <alignment horizontal="center" vertical="center" wrapText="1"/>
    </xf>
    <xf numFmtId="9" fontId="10" fillId="14" borderId="0" xfId="1" applyFont="1" applyFill="1" applyBorder="1" applyAlignment="1">
      <alignment horizontal="center" wrapText="1"/>
    </xf>
    <xf numFmtId="9" fontId="33" fillId="2" borderId="0" xfId="1" applyFont="1" applyFill="1" applyBorder="1" applyAlignment="1">
      <alignment horizontal="center" vertical="center"/>
    </xf>
    <xf numFmtId="9" fontId="33" fillId="16" borderId="0" xfId="1" applyFont="1" applyFill="1" applyBorder="1" applyAlignment="1">
      <alignment horizontal="center" vertical="center"/>
    </xf>
    <xf numFmtId="9" fontId="33" fillId="10" borderId="0" xfId="1" applyFont="1" applyFill="1" applyBorder="1" applyAlignment="1">
      <alignment horizontal="center" vertical="center"/>
    </xf>
    <xf numFmtId="9" fontId="33" fillId="12" borderId="0" xfId="1" applyFont="1" applyFill="1" applyBorder="1" applyAlignment="1">
      <alignment horizontal="center" vertical="center"/>
    </xf>
    <xf numFmtId="9" fontId="33" fillId="13" borderId="0" xfId="1" applyFont="1" applyFill="1" applyBorder="1" applyAlignment="1">
      <alignment horizontal="center" vertical="center"/>
    </xf>
    <xf numFmtId="164" fontId="32" fillId="0" borderId="0" xfId="0" applyNumberFormat="1" applyFont="1" applyAlignment="1">
      <alignment horizontal="center" vertical="center"/>
    </xf>
    <xf numFmtId="164" fontId="35" fillId="0" borderId="0" xfId="0" applyNumberFormat="1" applyFont="1" applyAlignment="1">
      <alignment horizontal="center" vertical="center"/>
    </xf>
    <xf numFmtId="0" fontId="36" fillId="0" borderId="6" xfId="0" applyFont="1" applyBorder="1"/>
    <xf numFmtId="0" fontId="19" fillId="10" borderId="0" xfId="0" applyFont="1" applyFill="1" applyAlignment="1">
      <alignment vertical="top" wrapText="1"/>
    </xf>
    <xf numFmtId="0" fontId="19" fillId="20" borderId="0" xfId="0" applyFont="1" applyFill="1" applyAlignment="1">
      <alignment vertical="top" wrapText="1"/>
    </xf>
    <xf numFmtId="9" fontId="39" fillId="5" borderId="10" xfId="0" applyNumberFormat="1" applyFont="1" applyFill="1" applyBorder="1" applyAlignment="1">
      <alignment horizontal="center" vertical="center"/>
    </xf>
    <xf numFmtId="164" fontId="20" fillId="0" borderId="5" xfId="0" applyNumberFormat="1" applyFont="1" applyBorder="1" applyAlignment="1">
      <alignment horizontal="center" vertical="center"/>
    </xf>
    <xf numFmtId="164" fontId="20" fillId="0" borderId="0" xfId="0" applyNumberFormat="1" applyFont="1" applyAlignment="1">
      <alignment horizontal="center" vertical="center"/>
    </xf>
    <xf numFmtId="9" fontId="0" fillId="5" borderId="0" xfId="1" applyFont="1" applyFill="1" applyBorder="1" applyAlignment="1">
      <alignment horizontal="center" vertical="center"/>
    </xf>
    <xf numFmtId="9" fontId="2" fillId="0" borderId="0" xfId="1" applyFont="1" applyFill="1" applyBorder="1" applyAlignment="1">
      <alignment horizontal="center"/>
    </xf>
    <xf numFmtId="0" fontId="3" fillId="3" borderId="0" xfId="0" applyFont="1" applyFill="1" applyAlignment="1">
      <alignment horizontal="center" vertical="center" wrapText="1"/>
    </xf>
    <xf numFmtId="0" fontId="8" fillId="6" borderId="0" xfId="0" applyFont="1" applyFill="1" applyAlignment="1">
      <alignment horizontal="center" vertical="center" wrapText="1"/>
    </xf>
    <xf numFmtId="9" fontId="24" fillId="5" borderId="3" xfId="1" applyFont="1" applyFill="1" applyBorder="1" applyAlignment="1">
      <alignment horizontal="center" vertical="center"/>
    </xf>
    <xf numFmtId="0" fontId="3" fillId="3" borderId="0" xfId="0" applyFont="1" applyFill="1" applyAlignment="1">
      <alignment horizontal="center" vertical="center"/>
    </xf>
    <xf numFmtId="9" fontId="0" fillId="5" borderId="0" xfId="0" applyNumberFormat="1" applyFill="1" applyAlignment="1">
      <alignment horizontal="center" vertical="center"/>
    </xf>
    <xf numFmtId="0" fontId="3" fillId="3" borderId="7" xfId="0" applyFont="1" applyFill="1" applyBorder="1" applyAlignment="1">
      <alignment horizontal="center" vertical="center" wrapText="1"/>
    </xf>
    <xf numFmtId="0" fontId="3" fillId="3" borderId="2" xfId="0" applyFont="1" applyFill="1" applyBorder="1" applyAlignment="1">
      <alignment horizontal="center" vertical="center"/>
    </xf>
    <xf numFmtId="0" fontId="3" fillId="3" borderId="7" xfId="0" applyFont="1" applyFill="1" applyBorder="1" applyAlignment="1">
      <alignment horizontal="center" vertical="center"/>
    </xf>
    <xf numFmtId="0" fontId="34"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1" borderId="7"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3" xfId="0" applyFont="1" applyFill="1" applyBorder="1" applyAlignment="1">
      <alignment horizontal="center" vertical="center" wrapText="1"/>
    </xf>
    <xf numFmtId="0" fontId="17" fillId="0" borderId="0" xfId="6" applyFont="1" applyAlignment="1">
      <alignment horizontal="left"/>
    </xf>
    <xf numFmtId="0" fontId="4" fillId="0" borderId="0" xfId="0" applyFont="1"/>
    <xf numFmtId="165" fontId="17" fillId="0" borderId="0" xfId="9" applyFont="1" applyBorder="1" applyAlignment="1">
      <alignment horizontal="left"/>
    </xf>
    <xf numFmtId="0" fontId="17" fillId="0" borderId="0" xfId="0" applyFont="1" applyAlignment="1">
      <alignment horizontal="left"/>
    </xf>
    <xf numFmtId="166" fontId="4" fillId="8" borderId="17" xfId="0" applyNumberFormat="1" applyFont="1" applyFill="1" applyBorder="1" applyAlignment="1">
      <alignment horizontal="center" vertical="center" wrapText="1"/>
    </xf>
    <xf numFmtId="166" fontId="4" fillId="8" borderId="18" xfId="0" applyNumberFormat="1" applyFont="1" applyFill="1" applyBorder="1" applyAlignment="1">
      <alignment horizontal="center" vertical="center" wrapText="1"/>
    </xf>
    <xf numFmtId="166" fontId="4" fillId="8" borderId="27" xfId="0" applyNumberFormat="1" applyFont="1" applyFill="1" applyBorder="1" applyAlignment="1">
      <alignment horizontal="center" vertical="center" wrapText="1"/>
    </xf>
    <xf numFmtId="0" fontId="19" fillId="7" borderId="14" xfId="0" applyFont="1" applyFill="1" applyBorder="1" applyAlignment="1">
      <alignment horizontal="center" vertical="center"/>
    </xf>
    <xf numFmtId="0" fontId="4" fillId="8" borderId="15" xfId="0" applyFont="1" applyFill="1" applyBorder="1" applyAlignment="1">
      <alignment horizontal="center"/>
    </xf>
    <xf numFmtId="0" fontId="13" fillId="0" borderId="0" xfId="11" applyFont="1" applyAlignment="1">
      <alignment wrapText="1"/>
    </xf>
    <xf numFmtId="0" fontId="19" fillId="7" borderId="14" xfId="0" applyFont="1" applyFill="1" applyBorder="1" applyAlignment="1">
      <alignment vertical="center"/>
    </xf>
    <xf numFmtId="0" fontId="4" fillId="8" borderId="15" xfId="0" applyFont="1" applyFill="1" applyBorder="1"/>
    <xf numFmtId="0" fontId="19" fillId="7" borderId="14" xfId="0" applyFont="1" applyFill="1" applyBorder="1" applyAlignment="1">
      <alignment horizontal="center" vertical="center" wrapText="1"/>
    </xf>
    <xf numFmtId="0" fontId="19" fillId="7" borderId="15" xfId="0" applyFont="1" applyFill="1" applyBorder="1" applyAlignment="1">
      <alignment horizontal="center" vertical="center" wrapText="1"/>
    </xf>
    <xf numFmtId="0" fontId="19" fillId="7" borderId="15" xfId="0" applyFont="1" applyFill="1" applyBorder="1" applyAlignment="1">
      <alignment horizontal="center" vertical="center"/>
    </xf>
    <xf numFmtId="0" fontId="19" fillId="8" borderId="14" xfId="0" applyFont="1" applyFill="1" applyBorder="1" applyAlignment="1">
      <alignment horizontal="center" wrapText="1"/>
    </xf>
    <xf numFmtId="0" fontId="31" fillId="8" borderId="15" xfId="0" applyFont="1" applyFill="1" applyBorder="1" applyAlignment="1">
      <alignment horizontal="center" wrapText="1"/>
    </xf>
    <xf numFmtId="0" fontId="38" fillId="7" borderId="14" xfId="0" applyFont="1" applyFill="1" applyBorder="1" applyAlignment="1">
      <alignment horizontal="center" vertical="center"/>
    </xf>
    <xf numFmtId="0" fontId="38" fillId="7" borderId="15" xfId="0" applyFont="1" applyFill="1" applyBorder="1" applyAlignment="1">
      <alignment horizontal="center" vertical="center"/>
    </xf>
  </cellXfs>
  <cellStyles count="12">
    <cellStyle name="Date" xfId="7" xr:uid="{00000000-0005-0000-0000-000000000000}"/>
    <cellStyle name="Heading 1" xfId="4" builtinId="16"/>
    <cellStyle name="Heading 2" xfId="5" builtinId="17"/>
    <cellStyle name="Heading 3" xfId="6" builtinId="18"/>
    <cellStyle name="Hyperlink" xfId="2" builtinId="8"/>
    <cellStyle name="Name" xfId="8" xr:uid="{00000000-0005-0000-0000-000005000000}"/>
    <cellStyle name="Normal" xfId="0" builtinId="0"/>
    <cellStyle name="Percent" xfId="1" builtinId="5"/>
    <cellStyle name="Project Start" xfId="9" xr:uid="{00000000-0005-0000-0000-000008000000}"/>
    <cellStyle name="Task" xfId="10" xr:uid="{00000000-0005-0000-0000-000009000000}"/>
    <cellStyle name="Title" xfId="3" builtinId="15"/>
    <cellStyle name="zHiddenText" xfId="11" xr:uid="{00000000-0005-0000-0000-00000B000000}"/>
  </cellStyles>
  <dxfs count="48">
    <dxf>
      <fill>
        <patternFill patternType="solid">
          <bgColor theme="5" tint="0.39988402966399123"/>
        </patternFill>
      </fill>
      <border>
        <left/>
        <right/>
        <top style="thin">
          <color theme="0" tint="-4.9989318521683403E-2"/>
        </top>
        <bottom style="thin">
          <color theme="0" tint="-4.9989318521683403E-2"/>
        </bottom>
      </border>
    </dxf>
    <dxf>
      <fill>
        <patternFill patternType="solid">
          <bgColor theme="5" tint="0.79992065187536243"/>
        </patternFill>
      </fill>
    </dxf>
    <dxf>
      <fill>
        <patternFill patternType="solid">
          <bgColor theme="4" tint="0.39988402966399123"/>
        </patternFill>
      </fill>
      <border>
        <left/>
        <right/>
        <top style="thin">
          <color theme="0" tint="-4.9989318521683403E-2"/>
        </top>
        <bottom style="thin">
          <color theme="0" tint="-4.9989318521683403E-2"/>
        </bottom>
      </border>
    </dxf>
    <dxf>
      <fill>
        <patternFill patternType="solid">
          <bgColor theme="4" tint="0.79992065187536243"/>
        </patternFill>
      </fill>
      <border>
        <top style="thin">
          <color theme="0" tint="-4.9989318521683403E-2"/>
        </top>
        <bottom style="thin">
          <color theme="0" tint="-4.9989318521683403E-2"/>
        </bottom>
      </border>
    </dxf>
    <dxf>
      <fill>
        <patternFill patternType="solid">
          <bgColor theme="5" tint="0.79992065187536243"/>
        </patternFill>
      </fill>
    </dxf>
    <dxf>
      <fill>
        <patternFill patternType="solid">
          <bgColor theme="5" tint="0.39988402966399123"/>
        </patternFill>
      </fill>
      <border>
        <left/>
        <right/>
        <top style="thin">
          <color theme="0" tint="-4.9989318521683403E-2"/>
        </top>
        <bottom style="thin">
          <color theme="0" tint="-4.9989318521683403E-2"/>
        </bottom>
      </border>
    </dxf>
    <dxf>
      <fill>
        <patternFill patternType="solid">
          <bgColor theme="4" tint="0.79992065187536243"/>
        </patternFill>
      </fill>
      <border>
        <top style="thin">
          <color theme="0" tint="-4.9989318521683403E-2"/>
        </top>
        <bottom style="thin">
          <color theme="0" tint="-4.9989318521683403E-2"/>
        </bottom>
      </border>
    </dxf>
    <dxf>
      <fill>
        <patternFill patternType="solid">
          <bgColor theme="4" tint="0.39988402966399123"/>
        </patternFill>
      </fill>
      <border>
        <left/>
        <right/>
        <top style="thin">
          <color theme="0" tint="-4.9989318521683403E-2"/>
        </top>
        <bottom style="thin">
          <color theme="0" tint="-4.9989318521683403E-2"/>
        </bottom>
      </border>
    </dxf>
    <dxf>
      <fill>
        <patternFill patternType="solid">
          <bgColor theme="8" tint="0.59996337778862885"/>
        </patternFill>
      </fill>
      <border>
        <left/>
        <right/>
      </border>
    </dxf>
    <dxf>
      <fill>
        <patternFill patternType="solid">
          <bgColor theme="8"/>
        </patternFill>
      </fill>
      <border>
        <left/>
        <right/>
      </border>
    </dxf>
    <dxf>
      <fill>
        <patternFill patternType="solid">
          <bgColor theme="6" tint="0.79992065187536243"/>
        </patternFill>
      </fill>
      <border>
        <top style="thin">
          <color theme="0" tint="-4.9989318521683403E-2"/>
        </top>
        <bottom style="thin">
          <color theme="0" tint="-4.9989318521683403E-2"/>
        </bottom>
      </border>
    </dxf>
    <dxf>
      <fill>
        <patternFill patternType="solid">
          <bgColor theme="6" tint="0.39988402966399123"/>
        </patternFill>
      </fill>
      <border>
        <left/>
        <right/>
        <top style="thin">
          <color theme="0" tint="-4.9989318521683403E-2"/>
        </top>
        <bottom style="thin">
          <color theme="0" tint="-4.9989318521683403E-2"/>
        </bottom>
      </border>
    </dxf>
    <dxf>
      <fill>
        <patternFill patternType="solid">
          <bgColor theme="5" tint="0.39988402966399123"/>
        </patternFill>
      </fill>
      <border>
        <left/>
        <right/>
        <top style="thin">
          <color theme="0" tint="-4.9989318521683403E-2"/>
        </top>
        <bottom style="thin">
          <color theme="0" tint="-4.9989318521683403E-2"/>
        </bottom>
      </border>
    </dxf>
    <dxf>
      <fill>
        <patternFill patternType="solid">
          <bgColor theme="5" tint="0.79992065187536243"/>
        </patternFill>
      </fill>
    </dxf>
    <dxf>
      <fill>
        <patternFill patternType="solid">
          <bgColor theme="4" tint="0.39988402966399123"/>
        </patternFill>
      </fill>
      <border>
        <left/>
        <right/>
        <top style="thin">
          <color theme="0" tint="-4.9989318521683403E-2"/>
        </top>
        <bottom style="thin">
          <color theme="0" tint="-4.9989318521683403E-2"/>
        </bottom>
      </border>
    </dxf>
    <dxf>
      <fill>
        <patternFill patternType="solid">
          <bgColor theme="4" tint="0.79992065187536243"/>
        </patternFill>
      </fill>
      <border>
        <top style="thin">
          <color theme="0" tint="-4.9989318521683403E-2"/>
        </top>
        <bottom style="thin">
          <color theme="0" tint="-4.9989318521683403E-2"/>
        </bottom>
      </border>
    </dxf>
    <dxf>
      <fill>
        <patternFill patternType="solid">
          <bgColor theme="8"/>
        </patternFill>
      </fill>
      <border>
        <left/>
        <right/>
      </border>
    </dxf>
    <dxf>
      <fill>
        <patternFill patternType="solid">
          <bgColor theme="8" tint="0.59996337778862885"/>
        </patternFill>
      </fill>
      <border>
        <left/>
        <right/>
      </border>
    </dxf>
    <dxf>
      <fill>
        <patternFill patternType="solid">
          <bgColor theme="6" tint="0.39988402966399123"/>
        </patternFill>
      </fill>
      <border>
        <left/>
        <right/>
        <top style="thin">
          <color theme="0" tint="-4.9989318521683403E-2"/>
        </top>
        <bottom style="thin">
          <color theme="0" tint="-4.9989318521683403E-2"/>
        </bottom>
      </border>
    </dxf>
    <dxf>
      <fill>
        <patternFill patternType="solid">
          <bgColor theme="6" tint="0.79992065187536243"/>
        </patternFill>
      </fill>
      <border>
        <top style="thin">
          <color theme="0" tint="-4.9989318521683403E-2"/>
        </top>
        <bottom style="thin">
          <color theme="0" tint="-4.9989318521683403E-2"/>
        </bottom>
      </border>
    </dxf>
    <dxf>
      <fill>
        <patternFill patternType="solid">
          <bgColor theme="5" tint="0.39988402966399123"/>
        </patternFill>
      </fill>
      <border>
        <left/>
        <right/>
        <top style="thin">
          <color theme="0" tint="-4.9989318521683403E-2"/>
        </top>
        <bottom style="thin">
          <color theme="0" tint="-4.9989318521683403E-2"/>
        </bottom>
      </border>
    </dxf>
    <dxf>
      <fill>
        <patternFill patternType="solid">
          <bgColor theme="5" tint="0.79992065187536243"/>
        </patternFill>
      </fill>
    </dxf>
    <dxf>
      <fill>
        <patternFill patternType="solid">
          <bgColor theme="4" tint="0.39988402966399123"/>
        </patternFill>
      </fill>
      <border>
        <left/>
        <right/>
        <top style="thin">
          <color theme="0" tint="-4.9989318521683403E-2"/>
        </top>
        <bottom style="thin">
          <color theme="0" tint="-4.9989318521683403E-2"/>
        </bottom>
      </border>
    </dxf>
    <dxf>
      <fill>
        <patternFill patternType="solid">
          <bgColor theme="4" tint="0.79992065187536243"/>
        </patternFill>
      </fill>
      <border>
        <top style="thin">
          <color theme="0" tint="-4.9989318521683403E-2"/>
        </top>
        <bottom style="thin">
          <color theme="0" tint="-4.9989318521683403E-2"/>
        </bottom>
      </border>
    </dxf>
    <dxf>
      <fill>
        <patternFill patternType="solid">
          <bgColor theme="6" tint="0.39988402966399123"/>
        </patternFill>
      </fill>
      <border>
        <left/>
        <right/>
        <top style="thin">
          <color theme="0" tint="-4.9989318521683403E-2"/>
        </top>
        <bottom style="thin">
          <color theme="0" tint="-4.9989318521683403E-2"/>
        </bottom>
      </border>
    </dxf>
    <dxf>
      <fill>
        <patternFill patternType="solid">
          <bgColor theme="6" tint="0.79992065187536243"/>
        </patternFill>
      </fill>
      <border>
        <top style="thin">
          <color theme="0" tint="-4.9989318521683403E-2"/>
        </top>
        <bottom style="thin">
          <color theme="0" tint="-4.9989318521683403E-2"/>
        </bottom>
      </border>
    </dxf>
    <dxf>
      <fill>
        <patternFill patternType="solid">
          <bgColor theme="5" tint="0.39988402966399123"/>
        </patternFill>
      </fill>
      <border>
        <left/>
        <right/>
        <top style="thin">
          <color theme="0" tint="-4.9989318521683403E-2"/>
        </top>
        <bottom style="thin">
          <color theme="0" tint="-4.9989318521683403E-2"/>
        </bottom>
      </border>
    </dxf>
    <dxf>
      <fill>
        <patternFill patternType="solid">
          <bgColor theme="5" tint="0.79992065187536243"/>
        </patternFill>
      </fill>
    </dxf>
    <dxf>
      <fill>
        <patternFill patternType="solid">
          <bgColor theme="4" tint="0.39988402966399123"/>
        </patternFill>
      </fill>
      <border>
        <left/>
        <right/>
        <top style="thin">
          <color theme="0" tint="-4.9989318521683403E-2"/>
        </top>
        <bottom style="thin">
          <color theme="0" tint="-4.9989318521683403E-2"/>
        </bottom>
      </border>
    </dxf>
    <dxf>
      <fill>
        <patternFill patternType="solid">
          <bgColor theme="4" tint="0.79992065187536243"/>
        </patternFill>
      </fill>
      <border>
        <top style="thin">
          <color theme="0" tint="-4.9989318521683403E-2"/>
        </top>
        <bottom style="thin">
          <color theme="0" tint="-4.9989318521683403E-2"/>
        </bottom>
      </border>
    </dxf>
    <dxf>
      <fill>
        <patternFill patternType="solid">
          <bgColor theme="8" tint="0.59996337778862885"/>
        </patternFill>
      </fill>
      <border>
        <left/>
        <right/>
      </border>
    </dxf>
    <dxf>
      <fill>
        <patternFill patternType="solid">
          <bgColor theme="8"/>
        </patternFill>
      </fill>
      <border>
        <left/>
        <right/>
      </border>
    </dxf>
    <dxf>
      <fill>
        <patternFill patternType="solid">
          <bgColor theme="6" tint="0.39988402966399123"/>
        </patternFill>
      </fill>
      <border>
        <left/>
        <right/>
        <top style="thin">
          <color theme="0" tint="-4.9989318521683403E-2"/>
        </top>
        <bottom style="thin">
          <color theme="0" tint="-4.9989318521683403E-2"/>
        </bottom>
      </border>
    </dxf>
    <dxf>
      <fill>
        <patternFill patternType="solid">
          <bgColor theme="6" tint="0.79992065187536243"/>
        </patternFill>
      </fill>
      <border>
        <top style="thin">
          <color theme="0" tint="-4.9989318521683403E-2"/>
        </top>
        <bottom style="thin">
          <color theme="0" tint="-4.9989318521683403E-2"/>
        </bottom>
      </border>
    </dxf>
    <dxf>
      <fill>
        <patternFill patternType="solid">
          <bgColor theme="5" tint="0.39988402966399123"/>
        </patternFill>
      </fill>
      <border>
        <left/>
        <right/>
        <top style="thin">
          <color theme="0" tint="-4.9989318521683403E-2"/>
        </top>
        <bottom style="thin">
          <color theme="0" tint="-4.9989318521683403E-2"/>
        </bottom>
      </border>
    </dxf>
    <dxf>
      <fill>
        <patternFill patternType="solid">
          <bgColor theme="5" tint="0.79992065187536243"/>
        </patternFill>
      </fill>
    </dxf>
    <dxf>
      <fill>
        <patternFill patternType="solid">
          <bgColor theme="4" tint="0.79992065187536243"/>
        </patternFill>
      </fill>
      <border>
        <top style="thin">
          <color theme="0" tint="-4.9989318521683403E-2"/>
        </top>
        <bottom style="thin">
          <color theme="0" tint="-4.9989318521683403E-2"/>
        </bottom>
      </border>
    </dxf>
    <dxf>
      <fill>
        <patternFill patternType="solid">
          <bgColor theme="4" tint="0.39988402966399123"/>
        </patternFill>
      </fill>
      <border>
        <left/>
        <right/>
        <top style="thin">
          <color theme="0" tint="-4.9989318521683403E-2"/>
        </top>
        <bottom style="thin">
          <color theme="0" tint="-4.9989318521683403E-2"/>
        </bottom>
      </border>
    </dxf>
    <dxf>
      <border>
        <left style="thin">
          <color theme="5"/>
        </left>
        <right style="thin">
          <color theme="5"/>
        </right>
      </border>
    </dxf>
    <dxf>
      <border>
        <left style="thin">
          <color theme="0" tint="-0.24994659260841701"/>
        </left>
      </border>
    </dxf>
    <dxf>
      <border>
        <left style="thin">
          <color theme="0" tint="-0.24994659260841701"/>
        </left>
      </border>
    </dxf>
    <dxf>
      <border>
        <top style="thin">
          <color theme="4" tint="0.39988402966399123"/>
        </top>
      </border>
    </dxf>
    <dxf>
      <fill>
        <patternFill patternType="solid">
          <bgColor theme="0" tint="-4.9989318521683403E-2"/>
        </patternFill>
      </fill>
      <border>
        <top style="thin">
          <color theme="4" tint="0.39988402966399123"/>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47"/>
      <tableStyleElement type="headerRow" dxfId="46"/>
      <tableStyleElement type="totalRow" dxfId="45"/>
      <tableStyleElement type="firstColumn" dxfId="44"/>
      <tableStyleElement type="lastColumn" dxfId="43"/>
      <tableStyleElement type="firstRowStripe" dxfId="42"/>
      <tableStyleElement type="secondRowStripe" dxfId="41"/>
      <tableStyleElement type="firstColumnStripe" dxfId="40"/>
      <tableStyleElement type="secondColumnStripe" dxfId="39"/>
    </tableStyle>
  </tableStyles>
  <colors>
    <mruColors>
      <color rgb="FF000099"/>
      <color rgb="FFFF3300"/>
      <color rgb="FF3366FF"/>
      <color rgb="FF0000FF"/>
      <color rgb="FF00FF00"/>
      <color rgb="FFFFFF00"/>
      <color rgb="FF0000CC"/>
      <color rgb="FF3333FF"/>
      <color rgb="FF215881"/>
      <color rgb="FF4264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333">
    <open main="264" threadCnt="1"/>
    <sheetInfos>
      <sheetInfo cellCmpFml="76" sheetStid="13">
        <open main="2" threadCnt="1"/>
      </sheetInfo>
      <sheetInfo cellCmpFml="185" sheetStid="11">
        <open main="10" threadCnt="1"/>
      </sheetInfo>
      <sheetInfo cellCmpFml="72" sheetStid="14">
        <open main="81" threadCnt="1"/>
      </sheetInfo>
      <sheetInfo cellCmpFml="0" sheetStid="15">
        <open threadCnt="1"/>
      </sheetInfo>
      <sheetInfo cellCmpFml="0" sheetStid="17">
        <open main="1"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5" Type="http://www.wps.cn/officeDocument/2023/relationships/woinfos" Target="woinfos.xml"/><Relationship Id="rId4" Type="http://schemas.openxmlformats.org/officeDocument/2006/relationships/styles" Target="styles.xml"/><Relationship Id="rId9" Type="http://schemas.openxmlformats.org/officeDocument/2006/relationships/customXml" Target="../customXml/item3.xml"/><Relationship Id="rId14" Type="http://www.wps.cn/officeDocument/2023/relationships/customStorage" Target="customStorage/customStorage.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R132"/>
  <sheetViews>
    <sheetView showGridLines="0" showRuler="0" topLeftCell="A3" zoomScale="70" zoomScaleNormal="70" zoomScalePageLayoutView="70" workbookViewId="0">
      <selection activeCell="H3" sqref="H3"/>
    </sheetView>
  </sheetViews>
  <sheetFormatPr defaultColWidth="8.75" defaultRowHeight="30" customHeight="1"/>
  <cols>
    <col min="1" max="1" width="2.75" style="31" customWidth="1"/>
    <col min="2" max="3" width="39.75" style="32" customWidth="1"/>
    <col min="4" max="5" width="16.75" style="32" customWidth="1"/>
    <col min="6" max="6" width="11" style="33" customWidth="1"/>
    <col min="7" max="7" width="13.75" style="33" customWidth="1"/>
    <col min="8" max="8" width="49" style="33" customWidth="1"/>
    <col min="9" max="10" width="12.625" style="33" customWidth="1"/>
    <col min="11" max="12" width="10.75" style="33" customWidth="1"/>
    <col min="13" max="13" width="2.75" style="32" customWidth="1"/>
    <col min="14" max="14" width="6" style="32" hidden="1" customWidth="1"/>
    <col min="15" max="71" width="2.75" style="32" customWidth="1"/>
    <col min="72" max="16384" width="8.75" style="32"/>
  </cols>
  <sheetData>
    <row r="1" spans="1:70" ht="90" customHeight="1">
      <c r="A1" s="34"/>
      <c r="B1" s="35" t="s">
        <v>0</v>
      </c>
      <c r="C1" s="35"/>
      <c r="D1" s="36"/>
      <c r="E1" s="36"/>
      <c r="F1" s="37"/>
      <c r="G1" s="37"/>
      <c r="H1" s="37"/>
      <c r="I1" s="37"/>
      <c r="J1" s="37"/>
      <c r="K1" s="37"/>
      <c r="L1" s="64"/>
      <c r="N1" s="65"/>
      <c r="O1" s="176" t="s">
        <v>1</v>
      </c>
      <c r="P1" s="177"/>
      <c r="Q1" s="177"/>
      <c r="R1" s="177"/>
      <c r="S1" s="177"/>
      <c r="T1" s="177"/>
      <c r="U1" s="177"/>
      <c r="W1" s="178">
        <v>46013</v>
      </c>
      <c r="X1" s="177"/>
      <c r="Y1" s="177"/>
      <c r="Z1" s="177"/>
      <c r="AA1" s="177"/>
      <c r="AB1" s="177"/>
      <c r="AC1" s="177"/>
      <c r="AD1" s="177"/>
      <c r="AE1" s="177"/>
      <c r="AF1" s="177"/>
    </row>
    <row r="2" spans="1:70" ht="30" customHeight="1">
      <c r="B2" s="38" t="s">
        <v>2</v>
      </c>
      <c r="C2" s="38"/>
      <c r="D2" s="39"/>
      <c r="E2" s="39"/>
      <c r="O2" s="176" t="s">
        <v>3</v>
      </c>
      <c r="P2" s="177"/>
      <c r="Q2" s="177"/>
      <c r="R2" s="177"/>
      <c r="S2" s="177"/>
      <c r="T2" s="177"/>
      <c r="U2" s="177"/>
      <c r="W2" s="179">
        <v>6</v>
      </c>
      <c r="X2" s="177"/>
      <c r="Y2" s="177"/>
      <c r="Z2" s="177"/>
      <c r="AA2" s="177"/>
      <c r="AB2" s="177"/>
      <c r="AC2" s="177"/>
      <c r="AD2" s="177"/>
      <c r="AE2" s="177"/>
      <c r="AF2" s="177"/>
    </row>
    <row r="3" spans="1:70" ht="30" customHeight="1">
      <c r="B3" s="40"/>
      <c r="C3" s="40"/>
      <c r="F3" s="41"/>
      <c r="G3" s="41"/>
      <c r="H3" s="41"/>
      <c r="I3" s="41"/>
      <c r="J3" s="41"/>
    </row>
    <row r="4" spans="1:70" ht="30" customHeight="1">
      <c r="A4" s="34"/>
      <c r="B4" s="42"/>
      <c r="C4" s="42"/>
      <c r="O4" s="180">
        <f>O5</f>
        <v>46034</v>
      </c>
      <c r="P4" s="181"/>
      <c r="Q4" s="181"/>
      <c r="R4" s="181"/>
      <c r="S4" s="181"/>
      <c r="T4" s="181"/>
      <c r="U4" s="181"/>
      <c r="V4" s="181">
        <f>V5</f>
        <v>46041</v>
      </c>
      <c r="W4" s="181"/>
      <c r="X4" s="181"/>
      <c r="Y4" s="181"/>
      <c r="Z4" s="181"/>
      <c r="AA4" s="181"/>
      <c r="AB4" s="181"/>
      <c r="AC4" s="181">
        <f>AC5</f>
        <v>46048</v>
      </c>
      <c r="AD4" s="181"/>
      <c r="AE4" s="181"/>
      <c r="AF4" s="181"/>
      <c r="AG4" s="181"/>
      <c r="AH4" s="181"/>
      <c r="AI4" s="181"/>
      <c r="AJ4" s="181">
        <f>AJ5</f>
        <v>46055</v>
      </c>
      <c r="AK4" s="181"/>
      <c r="AL4" s="181"/>
      <c r="AM4" s="181"/>
      <c r="AN4" s="181"/>
      <c r="AO4" s="181"/>
      <c r="AP4" s="181"/>
      <c r="AQ4" s="181">
        <f>AQ5</f>
        <v>46062</v>
      </c>
      <c r="AR4" s="181"/>
      <c r="AS4" s="181"/>
      <c r="AT4" s="181"/>
      <c r="AU4" s="181"/>
      <c r="AV4" s="181"/>
      <c r="AW4" s="181"/>
      <c r="AX4" s="181">
        <f>AX5</f>
        <v>46069</v>
      </c>
      <c r="AY4" s="181"/>
      <c r="AZ4" s="181"/>
      <c r="BA4" s="181"/>
      <c r="BB4" s="181"/>
      <c r="BC4" s="181"/>
      <c r="BD4" s="181"/>
      <c r="BE4" s="181">
        <f>BE5</f>
        <v>46076</v>
      </c>
      <c r="BF4" s="181"/>
      <c r="BG4" s="181"/>
      <c r="BH4" s="181"/>
      <c r="BI4" s="181"/>
      <c r="BJ4" s="181"/>
      <c r="BK4" s="181"/>
      <c r="BL4" s="181">
        <f>BL5</f>
        <v>46083</v>
      </c>
      <c r="BM4" s="181"/>
      <c r="BN4" s="181"/>
      <c r="BO4" s="181"/>
      <c r="BP4" s="181"/>
      <c r="BQ4" s="181"/>
      <c r="BR4" s="182"/>
    </row>
    <row r="5" spans="1:70" ht="15" customHeight="1">
      <c r="A5" s="185"/>
      <c r="B5" s="186" t="s">
        <v>4</v>
      </c>
      <c r="C5" s="193" t="s">
        <v>170</v>
      </c>
      <c r="D5" s="186" t="s">
        <v>5</v>
      </c>
      <c r="E5" s="183" t="s">
        <v>185</v>
      </c>
      <c r="F5" s="183" t="s">
        <v>6</v>
      </c>
      <c r="G5" s="191" t="s">
        <v>178</v>
      </c>
      <c r="H5" s="188" t="s">
        <v>137</v>
      </c>
      <c r="I5" s="188" t="s">
        <v>138</v>
      </c>
      <c r="J5" s="183" t="s">
        <v>139</v>
      </c>
      <c r="K5" s="183" t="s">
        <v>7</v>
      </c>
      <c r="L5" s="183" t="s">
        <v>8</v>
      </c>
      <c r="O5" s="79">
        <f>Project_Start-WEEKDAY(Project_Start,1)+2+7*(Display_Week-3)</f>
        <v>46034</v>
      </c>
      <c r="P5" s="79">
        <f>O5+1</f>
        <v>46035</v>
      </c>
      <c r="Q5" s="79">
        <f t="shared" ref="Q5:BF5" si="0">P5+1</f>
        <v>46036</v>
      </c>
      <c r="R5" s="79">
        <f t="shared" si="0"/>
        <v>46037</v>
      </c>
      <c r="S5" s="79">
        <f t="shared" si="0"/>
        <v>46038</v>
      </c>
      <c r="T5" s="79">
        <f t="shared" si="0"/>
        <v>46039</v>
      </c>
      <c r="U5" s="87">
        <f t="shared" si="0"/>
        <v>46040</v>
      </c>
      <c r="V5" s="88">
        <f t="shared" si="0"/>
        <v>46041</v>
      </c>
      <c r="W5" s="79">
        <f t="shared" si="0"/>
        <v>46042</v>
      </c>
      <c r="X5" s="79">
        <f t="shared" si="0"/>
        <v>46043</v>
      </c>
      <c r="Y5" s="79">
        <f t="shared" si="0"/>
        <v>46044</v>
      </c>
      <c r="Z5" s="79">
        <f t="shared" si="0"/>
        <v>46045</v>
      </c>
      <c r="AA5" s="79">
        <f t="shared" si="0"/>
        <v>46046</v>
      </c>
      <c r="AB5" s="87">
        <f t="shared" si="0"/>
        <v>46047</v>
      </c>
      <c r="AC5" s="88">
        <f t="shared" si="0"/>
        <v>46048</v>
      </c>
      <c r="AD5" s="79">
        <f t="shared" si="0"/>
        <v>46049</v>
      </c>
      <c r="AE5" s="79">
        <f t="shared" si="0"/>
        <v>46050</v>
      </c>
      <c r="AF5" s="79">
        <f t="shared" si="0"/>
        <v>46051</v>
      </c>
      <c r="AG5" s="79">
        <f t="shared" si="0"/>
        <v>46052</v>
      </c>
      <c r="AH5" s="79">
        <f t="shared" si="0"/>
        <v>46053</v>
      </c>
      <c r="AI5" s="87">
        <f t="shared" si="0"/>
        <v>46054</v>
      </c>
      <c r="AJ5" s="88">
        <f t="shared" si="0"/>
        <v>46055</v>
      </c>
      <c r="AK5" s="79">
        <f t="shared" si="0"/>
        <v>46056</v>
      </c>
      <c r="AL5" s="79">
        <f t="shared" si="0"/>
        <v>46057</v>
      </c>
      <c r="AM5" s="79">
        <f t="shared" si="0"/>
        <v>46058</v>
      </c>
      <c r="AN5" s="79">
        <f t="shared" si="0"/>
        <v>46059</v>
      </c>
      <c r="AO5" s="79">
        <f t="shared" si="0"/>
        <v>46060</v>
      </c>
      <c r="AP5" s="87">
        <f t="shared" si="0"/>
        <v>46061</v>
      </c>
      <c r="AQ5" s="88">
        <f t="shared" si="0"/>
        <v>46062</v>
      </c>
      <c r="AR5" s="79">
        <f t="shared" si="0"/>
        <v>46063</v>
      </c>
      <c r="AS5" s="79">
        <f t="shared" si="0"/>
        <v>46064</v>
      </c>
      <c r="AT5" s="79">
        <f t="shared" si="0"/>
        <v>46065</v>
      </c>
      <c r="AU5" s="79">
        <f t="shared" si="0"/>
        <v>46066</v>
      </c>
      <c r="AV5" s="79">
        <f t="shared" si="0"/>
        <v>46067</v>
      </c>
      <c r="AW5" s="87">
        <f t="shared" si="0"/>
        <v>46068</v>
      </c>
      <c r="AX5" s="88">
        <f t="shared" si="0"/>
        <v>46069</v>
      </c>
      <c r="AY5" s="79">
        <f t="shared" si="0"/>
        <v>46070</v>
      </c>
      <c r="AZ5" s="79">
        <f t="shared" si="0"/>
        <v>46071</v>
      </c>
      <c r="BA5" s="79">
        <f t="shared" si="0"/>
        <v>46072</v>
      </c>
      <c r="BB5" s="79">
        <f t="shared" si="0"/>
        <v>46073</v>
      </c>
      <c r="BC5" s="79">
        <f t="shared" si="0"/>
        <v>46074</v>
      </c>
      <c r="BD5" s="87">
        <f t="shared" si="0"/>
        <v>46075</v>
      </c>
      <c r="BE5" s="88">
        <f t="shared" si="0"/>
        <v>46076</v>
      </c>
      <c r="BF5" s="79">
        <f t="shared" si="0"/>
        <v>46077</v>
      </c>
      <c r="BG5" s="79">
        <f t="shared" ref="BG5:BM5" si="1">BF5+1</f>
        <v>46078</v>
      </c>
      <c r="BH5" s="79">
        <f t="shared" si="1"/>
        <v>46079</v>
      </c>
      <c r="BI5" s="79">
        <f t="shared" si="1"/>
        <v>46080</v>
      </c>
      <c r="BJ5" s="79">
        <f t="shared" si="1"/>
        <v>46081</v>
      </c>
      <c r="BK5" s="87">
        <f t="shared" si="1"/>
        <v>46082</v>
      </c>
      <c r="BL5" s="88">
        <f t="shared" si="1"/>
        <v>46083</v>
      </c>
      <c r="BM5" s="79">
        <f t="shared" si="1"/>
        <v>46084</v>
      </c>
      <c r="BN5" s="79">
        <f t="shared" ref="BN5:BR5" si="2">BM5+1</f>
        <v>46085</v>
      </c>
      <c r="BO5" s="79">
        <f t="shared" si="2"/>
        <v>46086</v>
      </c>
      <c r="BP5" s="79">
        <f t="shared" si="2"/>
        <v>46087</v>
      </c>
      <c r="BQ5" s="79">
        <f t="shared" si="2"/>
        <v>46088</v>
      </c>
      <c r="BR5" s="79">
        <f t="shared" si="2"/>
        <v>46089</v>
      </c>
    </row>
    <row r="6" spans="1:70" ht="15" customHeight="1" thickBot="1">
      <c r="A6" s="185"/>
      <c r="B6" s="187"/>
      <c r="C6" s="194"/>
      <c r="D6" s="187"/>
      <c r="E6" s="184"/>
      <c r="F6" s="184"/>
      <c r="G6" s="192"/>
      <c r="H6" s="189"/>
      <c r="I6" s="189"/>
      <c r="J6" s="190"/>
      <c r="K6" s="184"/>
      <c r="L6" s="184"/>
      <c r="O6" s="80" t="str">
        <f t="shared" ref="O6:AT6" si="3">LEFT(TEXT(O5,"ddd"),1)</f>
        <v>M</v>
      </c>
      <c r="P6" s="81" t="str">
        <f t="shared" si="3"/>
        <v>T</v>
      </c>
      <c r="Q6" s="81" t="str">
        <f t="shared" si="3"/>
        <v>W</v>
      </c>
      <c r="R6" s="81" t="str">
        <f t="shared" si="3"/>
        <v>T</v>
      </c>
      <c r="S6" s="81" t="str">
        <f t="shared" si="3"/>
        <v>F</v>
      </c>
      <c r="T6" s="81" t="str">
        <f t="shared" si="3"/>
        <v>S</v>
      </c>
      <c r="U6" s="81" t="str">
        <f t="shared" si="3"/>
        <v>S</v>
      </c>
      <c r="V6" s="81" t="str">
        <f t="shared" si="3"/>
        <v>M</v>
      </c>
      <c r="W6" s="81" t="str">
        <f t="shared" si="3"/>
        <v>T</v>
      </c>
      <c r="X6" s="81" t="str">
        <f t="shared" si="3"/>
        <v>W</v>
      </c>
      <c r="Y6" s="81" t="str">
        <f t="shared" si="3"/>
        <v>T</v>
      </c>
      <c r="Z6" s="81" t="str">
        <f t="shared" si="3"/>
        <v>F</v>
      </c>
      <c r="AA6" s="81" t="str">
        <f t="shared" si="3"/>
        <v>S</v>
      </c>
      <c r="AB6" s="81" t="str">
        <f t="shared" si="3"/>
        <v>S</v>
      </c>
      <c r="AC6" s="81" t="str">
        <f t="shared" si="3"/>
        <v>M</v>
      </c>
      <c r="AD6" s="81" t="str">
        <f t="shared" si="3"/>
        <v>T</v>
      </c>
      <c r="AE6" s="81" t="str">
        <f t="shared" si="3"/>
        <v>W</v>
      </c>
      <c r="AF6" s="81" t="str">
        <f t="shared" si="3"/>
        <v>T</v>
      </c>
      <c r="AG6" s="81" t="str">
        <f t="shared" si="3"/>
        <v>F</v>
      </c>
      <c r="AH6" s="81" t="str">
        <f t="shared" si="3"/>
        <v>S</v>
      </c>
      <c r="AI6" s="81" t="str">
        <f t="shared" si="3"/>
        <v>S</v>
      </c>
      <c r="AJ6" s="81" t="str">
        <f t="shared" si="3"/>
        <v>M</v>
      </c>
      <c r="AK6" s="81" t="str">
        <f t="shared" si="3"/>
        <v>T</v>
      </c>
      <c r="AL6" s="81" t="str">
        <f t="shared" si="3"/>
        <v>W</v>
      </c>
      <c r="AM6" s="81" t="str">
        <f t="shared" si="3"/>
        <v>T</v>
      </c>
      <c r="AN6" s="81" t="str">
        <f t="shared" si="3"/>
        <v>F</v>
      </c>
      <c r="AO6" s="81" t="str">
        <f t="shared" si="3"/>
        <v>S</v>
      </c>
      <c r="AP6" s="81" t="str">
        <f t="shared" si="3"/>
        <v>S</v>
      </c>
      <c r="AQ6" s="81" t="str">
        <f t="shared" si="3"/>
        <v>M</v>
      </c>
      <c r="AR6" s="81" t="str">
        <f t="shared" si="3"/>
        <v>T</v>
      </c>
      <c r="AS6" s="81" t="str">
        <f t="shared" si="3"/>
        <v>W</v>
      </c>
      <c r="AT6" s="81" t="str">
        <f t="shared" si="3"/>
        <v>T</v>
      </c>
      <c r="AU6" s="81" t="str">
        <f t="shared" ref="AU6:BR6" si="4">LEFT(TEXT(AU5,"ddd"),1)</f>
        <v>F</v>
      </c>
      <c r="AV6" s="81" t="str">
        <f t="shared" si="4"/>
        <v>S</v>
      </c>
      <c r="AW6" s="81" t="str">
        <f t="shared" si="4"/>
        <v>S</v>
      </c>
      <c r="AX6" s="81" t="str">
        <f t="shared" si="4"/>
        <v>M</v>
      </c>
      <c r="AY6" s="81" t="str">
        <f t="shared" si="4"/>
        <v>T</v>
      </c>
      <c r="AZ6" s="81" t="str">
        <f t="shared" si="4"/>
        <v>W</v>
      </c>
      <c r="BA6" s="81" t="str">
        <f t="shared" si="4"/>
        <v>T</v>
      </c>
      <c r="BB6" s="81" t="str">
        <f t="shared" si="4"/>
        <v>F</v>
      </c>
      <c r="BC6" s="81" t="str">
        <f t="shared" si="4"/>
        <v>S</v>
      </c>
      <c r="BD6" s="81" t="str">
        <f t="shared" si="4"/>
        <v>S</v>
      </c>
      <c r="BE6" s="81" t="str">
        <f t="shared" si="4"/>
        <v>M</v>
      </c>
      <c r="BF6" s="81" t="str">
        <f t="shared" si="4"/>
        <v>T</v>
      </c>
      <c r="BG6" s="81" t="str">
        <f t="shared" si="4"/>
        <v>W</v>
      </c>
      <c r="BH6" s="81" t="str">
        <f t="shared" si="4"/>
        <v>T</v>
      </c>
      <c r="BI6" s="81" t="str">
        <f t="shared" si="4"/>
        <v>F</v>
      </c>
      <c r="BJ6" s="81" t="str">
        <f t="shared" si="4"/>
        <v>S</v>
      </c>
      <c r="BK6" s="81" t="str">
        <f t="shared" si="4"/>
        <v>S</v>
      </c>
      <c r="BL6" s="81" t="str">
        <f t="shared" si="4"/>
        <v>M</v>
      </c>
      <c r="BM6" s="81" t="str">
        <f t="shared" si="4"/>
        <v>T</v>
      </c>
      <c r="BN6" s="81" t="str">
        <f t="shared" si="4"/>
        <v>W</v>
      </c>
      <c r="BO6" s="81" t="str">
        <f t="shared" si="4"/>
        <v>T</v>
      </c>
      <c r="BP6" s="81" t="str">
        <f t="shared" si="4"/>
        <v>F</v>
      </c>
      <c r="BQ6" s="81" t="str">
        <f t="shared" si="4"/>
        <v>S</v>
      </c>
      <c r="BR6" s="90" t="str">
        <f t="shared" si="4"/>
        <v>S</v>
      </c>
    </row>
    <row r="7" spans="1:70" ht="30" hidden="1" customHeight="1">
      <c r="A7" s="31" t="s">
        <v>9</v>
      </c>
      <c r="D7" s="43"/>
      <c r="E7" s="43"/>
      <c r="N7" s="32" t="str">
        <f>IF(OR(ISBLANK(task_start),ISBLANK(task_end)),"",task_end-task_start+1)</f>
        <v/>
      </c>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row>
    <row r="8" spans="1:70" s="30" customFormat="1" ht="30" customHeight="1" thickBot="1">
      <c r="A8" s="34"/>
      <c r="B8" s="44" t="s">
        <v>10</v>
      </c>
      <c r="C8" s="44" t="s">
        <v>171</v>
      </c>
      <c r="D8" s="45"/>
      <c r="E8" s="46">
        <f>AVERAGE(E9:E13)</f>
        <v>0</v>
      </c>
      <c r="F8" s="46">
        <f>AVERAGE(F9:F13)</f>
        <v>1</v>
      </c>
      <c r="G8" s="46">
        <f>AVERAGE(G9:G13)</f>
        <v>0.96</v>
      </c>
      <c r="H8" s="46"/>
      <c r="I8" s="46"/>
      <c r="J8" s="46"/>
      <c r="K8" s="66">
        <f>MIN(K9:K13)</f>
        <v>46013</v>
      </c>
      <c r="L8" s="67">
        <f>MAX(L9:L13)</f>
        <v>46080</v>
      </c>
      <c r="M8" s="64"/>
      <c r="N8" s="68">
        <f t="shared" ref="N8:N129" si="5">IF(OR(ISBLANK(task_start),ISBLANK(task_end)),"",task_end-task_start+1)</f>
        <v>68</v>
      </c>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row>
    <row r="9" spans="1:70" s="30" customFormat="1" ht="30" customHeight="1" thickBot="1">
      <c r="A9" s="34"/>
      <c r="B9" s="47" t="s">
        <v>11</v>
      </c>
      <c r="C9" s="47"/>
      <c r="D9" s="47" t="s">
        <v>12</v>
      </c>
      <c r="E9" s="48">
        <v>0</v>
      </c>
      <c r="F9" s="48">
        <v>1</v>
      </c>
      <c r="G9" s="48">
        <v>0.8</v>
      </c>
      <c r="H9" s="48" t="s">
        <v>134</v>
      </c>
      <c r="I9" s="48" t="s">
        <v>134</v>
      </c>
      <c r="J9" s="48"/>
      <c r="K9" s="69">
        <f>Project_Start</f>
        <v>46013</v>
      </c>
      <c r="L9" s="69">
        <f>K9+22</f>
        <v>46035</v>
      </c>
      <c r="M9" s="64"/>
      <c r="N9" s="68">
        <f t="shared" si="5"/>
        <v>23</v>
      </c>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row>
    <row r="10" spans="1:70" s="30" customFormat="1" ht="30" customHeight="1" thickBot="1">
      <c r="A10" s="34"/>
      <c r="B10" s="47" t="s">
        <v>13</v>
      </c>
      <c r="C10" s="47"/>
      <c r="D10" s="47" t="s">
        <v>12</v>
      </c>
      <c r="E10" s="48">
        <v>0</v>
      </c>
      <c r="F10" s="48">
        <v>1</v>
      </c>
      <c r="G10" s="48">
        <v>1</v>
      </c>
      <c r="H10" s="48" t="s">
        <v>141</v>
      </c>
      <c r="I10" s="141" t="s">
        <v>136</v>
      </c>
      <c r="J10" s="141" t="s">
        <v>140</v>
      </c>
      <c r="K10" s="69">
        <f>K9</f>
        <v>46013</v>
      </c>
      <c r="L10" s="69">
        <f>K10+39+28</f>
        <v>46080</v>
      </c>
      <c r="M10" s="64"/>
      <c r="N10" s="68">
        <f t="shared" si="5"/>
        <v>68</v>
      </c>
      <c r="O10" s="84"/>
      <c r="P10" s="84"/>
      <c r="Q10" s="84"/>
      <c r="R10" s="84"/>
      <c r="S10" s="84"/>
      <c r="T10" s="84"/>
      <c r="U10" s="84"/>
      <c r="V10" s="84"/>
      <c r="W10" s="84"/>
      <c r="X10" s="84"/>
      <c r="Y10" s="84"/>
      <c r="Z10" s="84"/>
      <c r="AA10" s="89"/>
      <c r="AB10" s="89"/>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row>
    <row r="11" spans="1:70" s="30" customFormat="1" ht="30" customHeight="1" thickBot="1">
      <c r="A11" s="31"/>
      <c r="B11" s="47" t="s">
        <v>14</v>
      </c>
      <c r="C11" s="47"/>
      <c r="D11" s="47" t="s">
        <v>12</v>
      </c>
      <c r="E11" s="48">
        <v>0</v>
      </c>
      <c r="F11" s="48">
        <v>1</v>
      </c>
      <c r="G11" s="48">
        <v>1</v>
      </c>
      <c r="H11" s="48"/>
      <c r="I11" s="48"/>
      <c r="J11" s="48"/>
      <c r="K11" s="69">
        <f>K9</f>
        <v>46013</v>
      </c>
      <c r="L11" s="69">
        <f>K11+22</f>
        <v>46035</v>
      </c>
      <c r="M11" s="64"/>
      <c r="N11" s="68">
        <f t="shared" si="5"/>
        <v>23</v>
      </c>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c r="BN11" s="84"/>
      <c r="BO11" s="84"/>
      <c r="BP11" s="84"/>
      <c r="BQ11" s="84"/>
      <c r="BR11" s="84"/>
    </row>
    <row r="12" spans="1:70" s="30" customFormat="1" ht="30" customHeight="1" thickBot="1">
      <c r="A12" s="31"/>
      <c r="B12" s="47" t="s">
        <v>15</v>
      </c>
      <c r="C12" s="47"/>
      <c r="D12" s="47" t="s">
        <v>12</v>
      </c>
      <c r="E12" s="48">
        <v>0</v>
      </c>
      <c r="F12" s="48">
        <v>1</v>
      </c>
      <c r="G12" s="48">
        <v>1</v>
      </c>
      <c r="H12" s="48" t="s">
        <v>164</v>
      </c>
      <c r="I12" s="141" t="s">
        <v>165</v>
      </c>
      <c r="J12" s="141"/>
      <c r="K12" s="69">
        <f>K9</f>
        <v>46013</v>
      </c>
      <c r="L12" s="69">
        <f>K12+22</f>
        <v>46035</v>
      </c>
      <c r="M12" s="64"/>
      <c r="N12" s="68">
        <f t="shared" si="5"/>
        <v>23</v>
      </c>
      <c r="O12" s="84"/>
      <c r="P12" s="84"/>
      <c r="Q12" s="84"/>
      <c r="R12" s="84"/>
      <c r="S12" s="84"/>
      <c r="T12" s="84"/>
      <c r="U12" s="84"/>
      <c r="V12" s="84"/>
      <c r="W12" s="84"/>
      <c r="X12" s="84"/>
      <c r="Y12" s="84"/>
      <c r="Z12" s="84"/>
      <c r="AA12" s="84"/>
      <c r="AB12" s="84"/>
      <c r="AC12" s="84"/>
      <c r="AD12" s="84"/>
      <c r="AE12" s="89"/>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c r="BN12" s="84"/>
      <c r="BO12" s="84"/>
      <c r="BP12" s="84"/>
      <c r="BQ12" s="84"/>
      <c r="BR12" s="84"/>
    </row>
    <row r="13" spans="1:70" s="30" customFormat="1" ht="30" customHeight="1" thickBot="1">
      <c r="A13" s="31"/>
      <c r="B13" s="47" t="s">
        <v>16</v>
      </c>
      <c r="C13" s="47"/>
      <c r="D13" s="47" t="s">
        <v>12</v>
      </c>
      <c r="E13" s="48">
        <v>0</v>
      </c>
      <c r="F13" s="48">
        <v>1</v>
      </c>
      <c r="G13" s="48">
        <v>1</v>
      </c>
      <c r="H13" s="48"/>
      <c r="I13" s="48"/>
      <c r="J13" s="48"/>
      <c r="K13" s="69">
        <f>K9</f>
        <v>46013</v>
      </c>
      <c r="L13" s="69">
        <f>K13+22</f>
        <v>46035</v>
      </c>
      <c r="M13" s="64"/>
      <c r="N13" s="68">
        <f t="shared" si="5"/>
        <v>23</v>
      </c>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row>
    <row r="14" spans="1:70" s="30" customFormat="1" ht="30" customHeight="1" thickBot="1">
      <c r="A14" s="34"/>
      <c r="B14" s="49" t="s">
        <v>17</v>
      </c>
      <c r="C14" s="49" t="s">
        <v>173</v>
      </c>
      <c r="D14" s="50"/>
      <c r="E14" s="51">
        <f>AVERAGE(E15:E19)</f>
        <v>0</v>
      </c>
      <c r="F14" s="51">
        <f>AVERAGE(F15:F19)</f>
        <v>1</v>
      </c>
      <c r="G14" s="51">
        <f>AVERAGE(G15:G19)</f>
        <v>1</v>
      </c>
      <c r="H14" s="51"/>
      <c r="I14" s="51"/>
      <c r="J14" s="51"/>
      <c r="K14" s="70">
        <f>MIN(K15:K19)</f>
        <v>46013</v>
      </c>
      <c r="L14" s="71">
        <f>MAX(L15:L19)</f>
        <v>46080</v>
      </c>
      <c r="M14" s="64"/>
      <c r="N14" s="68">
        <f t="shared" si="5"/>
        <v>68</v>
      </c>
    </row>
    <row r="15" spans="1:70" s="30" customFormat="1" ht="30" customHeight="1" thickBot="1">
      <c r="A15" s="34"/>
      <c r="B15" s="52" t="s">
        <v>18</v>
      </c>
      <c r="C15" s="52"/>
      <c r="D15" s="52" t="s">
        <v>19</v>
      </c>
      <c r="E15" s="48">
        <v>0</v>
      </c>
      <c r="F15" s="53">
        <v>1</v>
      </c>
      <c r="G15" s="53">
        <v>1</v>
      </c>
      <c r="H15" s="53"/>
      <c r="I15" s="53"/>
      <c r="J15" s="53"/>
      <c r="K15" s="72">
        <f>Project_Start</f>
        <v>46013</v>
      </c>
      <c r="L15" s="72">
        <f>K15+22</f>
        <v>46035</v>
      </c>
      <c r="M15" s="64"/>
      <c r="N15" s="68">
        <f t="shared" si="5"/>
        <v>23</v>
      </c>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row>
    <row r="16" spans="1:70" s="30" customFormat="1" ht="30" customHeight="1" thickBot="1">
      <c r="A16" s="31"/>
      <c r="B16" s="52" t="s">
        <v>20</v>
      </c>
      <c r="C16" s="52" t="s">
        <v>172</v>
      </c>
      <c r="D16" s="52" t="s">
        <v>21</v>
      </c>
      <c r="E16" s="48">
        <v>0</v>
      </c>
      <c r="F16" s="53">
        <v>1</v>
      </c>
      <c r="G16" s="53">
        <v>1</v>
      </c>
      <c r="H16" s="53" t="s">
        <v>144</v>
      </c>
      <c r="I16" s="53" t="s">
        <v>136</v>
      </c>
      <c r="J16" s="53" t="s">
        <v>140</v>
      </c>
      <c r="K16" s="72">
        <f>K15</f>
        <v>46013</v>
      </c>
      <c r="L16" s="72">
        <f>K16+39+28</f>
        <v>46080</v>
      </c>
      <c r="M16" s="64"/>
      <c r="N16" s="68">
        <f t="shared" si="5"/>
        <v>68</v>
      </c>
      <c r="O16" s="84"/>
      <c r="P16" s="84"/>
      <c r="Q16" s="84"/>
      <c r="R16" s="84"/>
      <c r="S16" s="84"/>
      <c r="T16" s="84"/>
      <c r="U16" s="84"/>
      <c r="V16" s="84"/>
      <c r="W16" s="84"/>
      <c r="X16" s="84"/>
      <c r="Y16" s="84"/>
      <c r="Z16" s="84"/>
      <c r="AA16" s="89"/>
      <c r="AB16" s="89"/>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row>
    <row r="17" spans="1:70" s="30" customFormat="1" ht="30" customHeight="1" thickBot="1">
      <c r="A17" s="31"/>
      <c r="B17" s="52" t="s">
        <v>22</v>
      </c>
      <c r="C17" s="52"/>
      <c r="D17" s="52" t="s">
        <v>19</v>
      </c>
      <c r="E17" s="48">
        <v>0</v>
      </c>
      <c r="F17" s="53">
        <v>1</v>
      </c>
      <c r="G17" s="53">
        <v>1</v>
      </c>
      <c r="H17" s="53"/>
      <c r="I17" s="53"/>
      <c r="J17" s="53"/>
      <c r="K17" s="72">
        <f>K15</f>
        <v>46013</v>
      </c>
      <c r="L17" s="72">
        <f>K17+22</f>
        <v>46035</v>
      </c>
      <c r="M17" s="64"/>
      <c r="N17" s="68">
        <f t="shared" si="5"/>
        <v>23</v>
      </c>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row>
    <row r="18" spans="1:70" s="30" customFormat="1" ht="30" customHeight="1" thickBot="1">
      <c r="A18" s="31"/>
      <c r="B18" s="52" t="s">
        <v>23</v>
      </c>
      <c r="C18" s="52"/>
      <c r="D18" s="52" t="s">
        <v>19</v>
      </c>
      <c r="E18" s="48">
        <v>0</v>
      </c>
      <c r="F18" s="53">
        <v>1</v>
      </c>
      <c r="G18" s="53">
        <v>1</v>
      </c>
      <c r="H18" s="53"/>
      <c r="I18" s="53"/>
      <c r="J18" s="53"/>
      <c r="K18" s="72">
        <f>K15</f>
        <v>46013</v>
      </c>
      <c r="L18" s="72">
        <f>K18+22</f>
        <v>46035</v>
      </c>
      <c r="M18" s="64"/>
      <c r="N18" s="68">
        <f t="shared" si="5"/>
        <v>23</v>
      </c>
      <c r="O18" s="84"/>
      <c r="P18" s="84"/>
      <c r="Q18" s="84"/>
      <c r="R18" s="84"/>
      <c r="S18" s="84"/>
      <c r="T18" s="84"/>
      <c r="U18" s="84"/>
      <c r="V18" s="84"/>
      <c r="W18" s="84"/>
      <c r="X18" s="84"/>
      <c r="Y18" s="84"/>
      <c r="Z18" s="84"/>
      <c r="AA18" s="84"/>
      <c r="AB18" s="84"/>
      <c r="AC18" s="84"/>
      <c r="AD18" s="84"/>
      <c r="AE18" s="89"/>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row>
    <row r="19" spans="1:70" s="30" customFormat="1" ht="30" customHeight="1" thickBot="1">
      <c r="A19" s="31"/>
      <c r="B19" s="52" t="s">
        <v>24</v>
      </c>
      <c r="C19" s="52"/>
      <c r="D19" s="52" t="s">
        <v>19</v>
      </c>
      <c r="E19" s="48">
        <v>0</v>
      </c>
      <c r="F19" s="53">
        <v>1</v>
      </c>
      <c r="G19" s="53">
        <v>1</v>
      </c>
      <c r="H19" s="53"/>
      <c r="I19" s="53"/>
      <c r="J19" s="53"/>
      <c r="K19" s="72">
        <f>K15</f>
        <v>46013</v>
      </c>
      <c r="L19" s="72">
        <f>K19+22</f>
        <v>46035</v>
      </c>
      <c r="M19" s="64"/>
      <c r="N19" s="68">
        <f t="shared" si="5"/>
        <v>23</v>
      </c>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row>
    <row r="20" spans="1:70" s="30" customFormat="1" ht="30" customHeight="1" thickBot="1">
      <c r="A20" s="31"/>
      <c r="B20" s="54" t="s">
        <v>25</v>
      </c>
      <c r="C20" s="54" t="s">
        <v>173</v>
      </c>
      <c r="D20" s="55"/>
      <c r="E20" s="56">
        <f>AVERAGE(E21:E23)</f>
        <v>0</v>
      </c>
      <c r="F20" s="56">
        <f>AVERAGE(F21:F23)</f>
        <v>1</v>
      </c>
      <c r="G20" s="56">
        <f>AVERAGE(G21:G23)</f>
        <v>1</v>
      </c>
      <c r="H20" s="56"/>
      <c r="I20" s="56"/>
      <c r="J20" s="56"/>
      <c r="K20" s="73">
        <f>MIN(K21:K23)</f>
        <v>46013</v>
      </c>
      <c r="L20" s="74">
        <f>MAX(L21:L23)</f>
        <v>46080</v>
      </c>
      <c r="M20" s="64"/>
      <c r="N20" s="68">
        <f t="shared" si="5"/>
        <v>68</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row>
    <row r="21" spans="1:70" s="30" customFormat="1" ht="30" customHeight="1" thickBot="1">
      <c r="A21" s="31"/>
      <c r="B21" s="57" t="s">
        <v>26</v>
      </c>
      <c r="C21" s="57"/>
      <c r="D21" s="57" t="s">
        <v>27</v>
      </c>
      <c r="E21" s="58">
        <v>0</v>
      </c>
      <c r="F21" s="58">
        <v>1</v>
      </c>
      <c r="G21" s="58">
        <v>1</v>
      </c>
      <c r="H21" s="58" t="s">
        <v>145</v>
      </c>
      <c r="I21" s="58" t="s">
        <v>136</v>
      </c>
      <c r="J21" s="58" t="s">
        <v>140</v>
      </c>
      <c r="K21" s="75">
        <f>Project_Start</f>
        <v>46013</v>
      </c>
      <c r="L21" s="75">
        <f>K21+39+28</f>
        <v>46080</v>
      </c>
      <c r="M21" s="64"/>
      <c r="N21" s="68">
        <f t="shared" si="5"/>
        <v>68</v>
      </c>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row>
    <row r="22" spans="1:70" s="30" customFormat="1" ht="30" customHeight="1" thickBot="1">
      <c r="A22" s="31"/>
      <c r="B22" s="57" t="s">
        <v>28</v>
      </c>
      <c r="C22" s="57"/>
      <c r="D22" s="57" t="s">
        <v>27</v>
      </c>
      <c r="E22" s="58">
        <v>0</v>
      </c>
      <c r="F22" s="58">
        <v>1</v>
      </c>
      <c r="G22" s="58">
        <v>1</v>
      </c>
      <c r="H22" s="143" t="s">
        <v>146</v>
      </c>
      <c r="I22" s="58" t="s">
        <v>136</v>
      </c>
      <c r="J22" s="58" t="s">
        <v>140</v>
      </c>
      <c r="K22" s="75">
        <f>K21</f>
        <v>46013</v>
      </c>
      <c r="L22" s="75">
        <f>K22+39+28</f>
        <v>46080</v>
      </c>
      <c r="M22" s="64"/>
      <c r="N22" s="68">
        <f t="shared" si="5"/>
        <v>68</v>
      </c>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row>
    <row r="23" spans="1:70" s="30" customFormat="1" ht="30" customHeight="1" thickBot="1">
      <c r="A23" s="31"/>
      <c r="B23" s="57" t="s">
        <v>29</v>
      </c>
      <c r="C23" s="57"/>
      <c r="D23" s="57" t="s">
        <v>19</v>
      </c>
      <c r="E23" s="58">
        <v>0</v>
      </c>
      <c r="F23" s="58">
        <v>1</v>
      </c>
      <c r="G23" s="58">
        <v>1</v>
      </c>
      <c r="H23" s="58"/>
      <c r="I23" s="58"/>
      <c r="J23" s="58"/>
      <c r="K23" s="75">
        <f>K21</f>
        <v>46013</v>
      </c>
      <c r="L23" s="75">
        <f>K15+22</f>
        <v>46035</v>
      </c>
      <c r="M23" s="64"/>
      <c r="N23" s="68">
        <f t="shared" si="5"/>
        <v>23</v>
      </c>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row>
    <row r="24" spans="1:70" s="30" customFormat="1" ht="30" customHeight="1" thickBot="1">
      <c r="A24" s="31"/>
      <c r="B24" s="59" t="s">
        <v>30</v>
      </c>
      <c r="C24" s="59" t="s">
        <v>171</v>
      </c>
      <c r="D24" s="60"/>
      <c r="E24" s="61">
        <f>AVERAGE(E25:E30)</f>
        <v>0</v>
      </c>
      <c r="F24" s="61">
        <f>AVERAGE(F25:F30)</f>
        <v>1</v>
      </c>
      <c r="G24" s="61">
        <f>AVERAGE(G25:G30)</f>
        <v>1</v>
      </c>
      <c r="H24" s="61"/>
      <c r="I24" s="61"/>
      <c r="J24" s="61"/>
      <c r="K24" s="76">
        <f>MIN(K25:K30)</f>
        <v>46013</v>
      </c>
      <c r="L24" s="77">
        <f>MAX(L25:L30)</f>
        <v>46080</v>
      </c>
      <c r="M24" s="64"/>
      <c r="N24" s="68">
        <f t="shared" si="5"/>
        <v>68</v>
      </c>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row>
    <row r="25" spans="1:70" s="30" customFormat="1" ht="30" customHeight="1" thickBot="1">
      <c r="A25" s="31"/>
      <c r="B25" s="62" t="s">
        <v>31</v>
      </c>
      <c r="C25" s="62"/>
      <c r="D25" s="62" t="s">
        <v>32</v>
      </c>
      <c r="E25" s="63">
        <v>0</v>
      </c>
      <c r="F25" s="63">
        <v>1</v>
      </c>
      <c r="G25" s="63">
        <v>1</v>
      </c>
      <c r="H25" s="142" t="s">
        <v>166</v>
      </c>
      <c r="I25" s="63" t="s">
        <v>136</v>
      </c>
      <c r="J25" s="63" t="s">
        <v>140</v>
      </c>
      <c r="K25" s="78">
        <f>Project_Start</f>
        <v>46013</v>
      </c>
      <c r="L25" s="78">
        <f>K25+22</f>
        <v>46035</v>
      </c>
      <c r="M25" s="64"/>
      <c r="N25" s="68">
        <f t="shared" si="5"/>
        <v>23</v>
      </c>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row>
    <row r="26" spans="1:70" s="30" customFormat="1" ht="30" customHeight="1" thickBot="1">
      <c r="A26" s="31"/>
      <c r="B26" s="62" t="s">
        <v>33</v>
      </c>
      <c r="C26" s="62"/>
      <c r="D26" s="62" t="s">
        <v>32</v>
      </c>
      <c r="E26" s="63">
        <v>0</v>
      </c>
      <c r="F26" s="63">
        <v>1</v>
      </c>
      <c r="G26" s="63">
        <v>1</v>
      </c>
      <c r="H26" s="63" t="s">
        <v>147</v>
      </c>
      <c r="I26" s="63" t="s">
        <v>136</v>
      </c>
      <c r="J26" s="63" t="s">
        <v>140</v>
      </c>
      <c r="K26" s="78">
        <f>K25</f>
        <v>46013</v>
      </c>
      <c r="L26" s="78">
        <f>K26+39+28</f>
        <v>46080</v>
      </c>
      <c r="M26" s="64"/>
      <c r="N26" s="68">
        <f t="shared" si="5"/>
        <v>68</v>
      </c>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row>
    <row r="27" spans="1:70" s="30" customFormat="1" ht="30" customHeight="1" thickBot="1">
      <c r="A27" s="31"/>
      <c r="B27" s="62" t="s">
        <v>34</v>
      </c>
      <c r="C27" s="62"/>
      <c r="D27" s="62" t="s">
        <v>19</v>
      </c>
      <c r="E27" s="63">
        <v>0</v>
      </c>
      <c r="F27" s="63">
        <v>1</v>
      </c>
      <c r="G27" s="63">
        <v>1</v>
      </c>
      <c r="H27" s="142" t="s">
        <v>168</v>
      </c>
      <c r="I27" s="142" t="s">
        <v>169</v>
      </c>
      <c r="J27" s="63" t="s">
        <v>149</v>
      </c>
      <c r="K27" s="78">
        <f>K25</f>
        <v>46013</v>
      </c>
      <c r="L27" s="78">
        <f>K27+22</f>
        <v>46035</v>
      </c>
      <c r="M27" s="64"/>
      <c r="N27" s="68">
        <f t="shared" si="5"/>
        <v>23</v>
      </c>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row>
    <row r="28" spans="1:70" s="30" customFormat="1" ht="30" customHeight="1" thickBot="1">
      <c r="A28" s="31"/>
      <c r="B28" s="62" t="s">
        <v>35</v>
      </c>
      <c r="C28" s="62"/>
      <c r="D28" s="62" t="s">
        <v>19</v>
      </c>
      <c r="E28" s="63">
        <v>0</v>
      </c>
      <c r="F28" s="63">
        <v>1</v>
      </c>
      <c r="G28" s="63">
        <v>1</v>
      </c>
      <c r="H28" s="63"/>
      <c r="I28" s="63"/>
      <c r="J28" s="63"/>
      <c r="K28" s="78">
        <f>K25</f>
        <v>46013</v>
      </c>
      <c r="L28" s="78">
        <f>K28+22</f>
        <v>46035</v>
      </c>
      <c r="M28" s="64"/>
      <c r="N28" s="68">
        <f t="shared" si="5"/>
        <v>23</v>
      </c>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row>
    <row r="29" spans="1:70" s="30" customFormat="1" ht="30" customHeight="1" thickBot="1">
      <c r="A29" s="31"/>
      <c r="B29" s="62" t="s">
        <v>36</v>
      </c>
      <c r="C29" s="62"/>
      <c r="D29" s="62" t="s">
        <v>19</v>
      </c>
      <c r="E29" s="63">
        <v>0</v>
      </c>
      <c r="F29" s="63">
        <v>1</v>
      </c>
      <c r="G29" s="63">
        <v>1</v>
      </c>
      <c r="H29" s="63" t="s">
        <v>151</v>
      </c>
      <c r="I29" s="63" t="s">
        <v>136</v>
      </c>
      <c r="J29" s="63" t="s">
        <v>140</v>
      </c>
      <c r="K29" s="78">
        <f>K25</f>
        <v>46013</v>
      </c>
      <c r="L29" s="78">
        <f>K29+22</f>
        <v>46035</v>
      </c>
      <c r="M29" s="64"/>
      <c r="N29" s="68">
        <f t="shared" si="5"/>
        <v>23</v>
      </c>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c r="BR29" s="84"/>
    </row>
    <row r="30" spans="1:70" s="30" customFormat="1" ht="30" customHeight="1" thickBot="1">
      <c r="A30" s="31"/>
      <c r="B30" s="62" t="s">
        <v>37</v>
      </c>
      <c r="C30" s="62"/>
      <c r="D30" s="62" t="s">
        <v>19</v>
      </c>
      <c r="E30" s="63">
        <v>0</v>
      </c>
      <c r="F30" s="63">
        <v>1</v>
      </c>
      <c r="G30" s="63">
        <v>1</v>
      </c>
      <c r="H30" s="63"/>
      <c r="I30" s="63"/>
      <c r="J30" s="63"/>
      <c r="K30" s="78">
        <f>K26</f>
        <v>46013</v>
      </c>
      <c r="L30" s="78">
        <f>K30+22</f>
        <v>46035</v>
      </c>
      <c r="M30" s="64"/>
      <c r="N30" s="68">
        <f t="shared" si="5"/>
        <v>23</v>
      </c>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row>
    <row r="31" spans="1:70" s="30" customFormat="1" ht="30" customHeight="1" thickBot="1">
      <c r="A31" s="34"/>
      <c r="B31" s="44" t="s">
        <v>38</v>
      </c>
      <c r="C31" s="44" t="s">
        <v>171</v>
      </c>
      <c r="D31" s="45"/>
      <c r="E31" s="46">
        <f>AVERAGE(E32:E40)</f>
        <v>0</v>
      </c>
      <c r="F31" s="46">
        <f>AVERAGE(F32:F40)</f>
        <v>0.88888888888888884</v>
      </c>
      <c r="G31" s="46">
        <f>AVERAGE(G32:G40)</f>
        <v>0.94444444444444442</v>
      </c>
      <c r="H31" s="46"/>
      <c r="I31" s="46"/>
      <c r="J31" s="46"/>
      <c r="K31" s="66">
        <f>MIN(K32:K40)</f>
        <v>46013</v>
      </c>
      <c r="L31" s="67">
        <f>MAX(L32:L40)</f>
        <v>46112</v>
      </c>
      <c r="M31" s="64"/>
      <c r="N31" s="68">
        <f t="shared" si="5"/>
        <v>100</v>
      </c>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row>
    <row r="32" spans="1:70" s="30" customFormat="1" ht="30" customHeight="1" thickBot="1">
      <c r="A32" s="34"/>
      <c r="B32" s="47" t="s">
        <v>39</v>
      </c>
      <c r="C32" s="47"/>
      <c r="D32" s="47" t="s">
        <v>40</v>
      </c>
      <c r="E32" s="48">
        <v>0</v>
      </c>
      <c r="F32" s="48">
        <v>1</v>
      </c>
      <c r="G32" s="48">
        <v>1</v>
      </c>
      <c r="H32" s="48"/>
      <c r="I32" s="48"/>
      <c r="J32" s="48"/>
      <c r="K32" s="69">
        <f>Project_Start</f>
        <v>46013</v>
      </c>
      <c r="L32" s="69">
        <f>K32+22</f>
        <v>46035</v>
      </c>
      <c r="M32" s="64"/>
      <c r="N32" s="68">
        <f t="shared" si="5"/>
        <v>23</v>
      </c>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row>
    <row r="33" spans="1:70" s="30" customFormat="1" ht="30" customHeight="1" thickBot="1">
      <c r="A33" s="34"/>
      <c r="B33" s="47" t="s">
        <v>41</v>
      </c>
      <c r="C33" s="47"/>
      <c r="D33" s="47" t="s">
        <v>40</v>
      </c>
      <c r="E33" s="48">
        <v>0</v>
      </c>
      <c r="F33" s="48">
        <v>1</v>
      </c>
      <c r="G33" s="48">
        <v>1</v>
      </c>
      <c r="H33" s="48" t="s">
        <v>150</v>
      </c>
      <c r="I33" s="48" t="s">
        <v>136</v>
      </c>
      <c r="J33" s="48" t="s">
        <v>140</v>
      </c>
      <c r="K33" s="69">
        <f>K32</f>
        <v>46013</v>
      </c>
      <c r="L33" s="69">
        <f>K33+39+28</f>
        <v>46080</v>
      </c>
      <c r="M33" s="64"/>
      <c r="N33" s="68">
        <f t="shared" si="5"/>
        <v>68</v>
      </c>
      <c r="O33" s="84"/>
      <c r="P33" s="84"/>
      <c r="Q33" s="84"/>
      <c r="R33" s="84"/>
      <c r="S33" s="84"/>
      <c r="T33" s="84"/>
      <c r="U33" s="84"/>
      <c r="V33" s="84"/>
      <c r="W33" s="84"/>
      <c r="X33" s="84"/>
      <c r="Y33" s="84"/>
      <c r="Z33" s="84"/>
      <c r="AA33" s="89"/>
      <c r="AB33" s="89"/>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row>
    <row r="34" spans="1:70" s="30" customFormat="1" ht="30" customHeight="1" thickBot="1">
      <c r="A34" s="31"/>
      <c r="B34" s="47" t="s">
        <v>42</v>
      </c>
      <c r="C34" s="47"/>
      <c r="D34" s="47" t="s">
        <v>40</v>
      </c>
      <c r="E34" s="48">
        <v>0</v>
      </c>
      <c r="F34" s="48">
        <v>1</v>
      </c>
      <c r="G34" s="48">
        <v>1</v>
      </c>
      <c r="H34" s="48"/>
      <c r="I34" s="48"/>
      <c r="J34" s="48"/>
      <c r="K34" s="69">
        <f>K32</f>
        <v>46013</v>
      </c>
      <c r="L34" s="69">
        <f>K34+22</f>
        <v>46035</v>
      </c>
      <c r="M34" s="64"/>
      <c r="N34" s="68">
        <f t="shared" si="5"/>
        <v>23</v>
      </c>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row>
    <row r="35" spans="1:70" s="30" customFormat="1" ht="30" customHeight="1" thickBot="1">
      <c r="A35" s="31"/>
      <c r="B35" s="47" t="s">
        <v>43</v>
      </c>
      <c r="C35" s="152" t="s">
        <v>174</v>
      </c>
      <c r="D35" s="47" t="s">
        <v>44</v>
      </c>
      <c r="E35" s="48">
        <v>0</v>
      </c>
      <c r="F35" s="48">
        <v>0.5</v>
      </c>
      <c r="G35" s="48">
        <v>1</v>
      </c>
      <c r="H35" s="141" t="s">
        <v>167</v>
      </c>
      <c r="I35" s="48" t="s">
        <v>165</v>
      </c>
      <c r="J35" s="48"/>
      <c r="K35" s="69">
        <f>K32</f>
        <v>46013</v>
      </c>
      <c r="L35" s="69">
        <f>K35+22</f>
        <v>46035</v>
      </c>
      <c r="M35" s="64"/>
      <c r="N35" s="68">
        <f t="shared" si="5"/>
        <v>23</v>
      </c>
      <c r="O35" s="84"/>
      <c r="P35" s="84"/>
      <c r="Q35" s="84"/>
      <c r="R35" s="84"/>
      <c r="S35" s="84"/>
      <c r="T35" s="84"/>
      <c r="U35" s="84"/>
      <c r="V35" s="84"/>
      <c r="W35" s="84"/>
      <c r="X35" s="84"/>
      <c r="Y35" s="84"/>
      <c r="Z35" s="84"/>
      <c r="AA35" s="84"/>
      <c r="AB35" s="84"/>
      <c r="AC35" s="84"/>
      <c r="AD35" s="84"/>
      <c r="AE35" s="89"/>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row>
    <row r="36" spans="1:70" s="30" customFormat="1" ht="30" customHeight="1" thickBot="1">
      <c r="A36" s="31"/>
      <c r="B36" s="47" t="s">
        <v>45</v>
      </c>
      <c r="C36" s="47"/>
      <c r="D36" s="47" t="s">
        <v>44</v>
      </c>
      <c r="E36" s="48">
        <v>0</v>
      </c>
      <c r="F36" s="48">
        <v>1</v>
      </c>
      <c r="G36" s="48">
        <v>1</v>
      </c>
      <c r="H36" s="48" t="s">
        <v>150</v>
      </c>
      <c r="I36" s="48" t="s">
        <v>136</v>
      </c>
      <c r="J36" s="48" t="s">
        <v>140</v>
      </c>
      <c r="K36" s="69">
        <f>K32</f>
        <v>46013</v>
      </c>
      <c r="L36" s="69">
        <f>K36+22</f>
        <v>46035</v>
      </c>
      <c r="M36" s="64"/>
      <c r="N36" s="68">
        <f t="shared" si="5"/>
        <v>23</v>
      </c>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row>
    <row r="37" spans="1:70" s="30" customFormat="1" ht="30" customHeight="1" thickBot="1">
      <c r="A37" s="34"/>
      <c r="B37" s="47" t="s">
        <v>46</v>
      </c>
      <c r="C37" s="47"/>
      <c r="D37" s="47" t="s">
        <v>44</v>
      </c>
      <c r="E37" s="48">
        <v>0</v>
      </c>
      <c r="F37" s="48">
        <v>1</v>
      </c>
      <c r="G37" s="48">
        <v>1</v>
      </c>
      <c r="H37" s="48"/>
      <c r="I37" s="48"/>
      <c r="J37" s="48"/>
      <c r="K37" s="69">
        <f>K36</f>
        <v>46013</v>
      </c>
      <c r="L37" s="69">
        <f>K37+39+28</f>
        <v>46080</v>
      </c>
      <c r="M37" s="64"/>
      <c r="N37" s="68">
        <f t="shared" si="5"/>
        <v>68</v>
      </c>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row>
    <row r="38" spans="1:70" s="30" customFormat="1" ht="30" customHeight="1" thickBot="1">
      <c r="A38" s="34"/>
      <c r="B38" s="47" t="s">
        <v>47</v>
      </c>
      <c r="C38" s="152" t="s">
        <v>174</v>
      </c>
      <c r="D38" s="47" t="s">
        <v>48</v>
      </c>
      <c r="E38" s="48">
        <v>0</v>
      </c>
      <c r="F38" s="48">
        <v>1</v>
      </c>
      <c r="G38" s="48">
        <v>1</v>
      </c>
      <c r="H38" s="48"/>
      <c r="I38" s="48"/>
      <c r="J38" s="48"/>
      <c r="K38" s="69">
        <f>K37</f>
        <v>46013</v>
      </c>
      <c r="L38" s="69">
        <f>K38+39+28</f>
        <v>46080</v>
      </c>
      <c r="M38" s="64"/>
      <c r="N38" s="68">
        <f t="shared" si="5"/>
        <v>68</v>
      </c>
      <c r="O38" s="84"/>
      <c r="P38" s="84"/>
      <c r="Q38" s="84"/>
      <c r="R38" s="84"/>
      <c r="S38" s="84"/>
      <c r="T38" s="84"/>
      <c r="U38" s="84"/>
      <c r="V38" s="84"/>
      <c r="W38" s="84"/>
      <c r="X38" s="84"/>
      <c r="Y38" s="84"/>
      <c r="Z38" s="84"/>
      <c r="AA38" s="89"/>
      <c r="AB38" s="89"/>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row>
    <row r="39" spans="1:70" s="30" customFormat="1" ht="30" customHeight="1" thickBot="1">
      <c r="A39" s="31"/>
      <c r="B39" s="47" t="s">
        <v>186</v>
      </c>
      <c r="C39" s="152" t="s">
        <v>174</v>
      </c>
      <c r="D39" s="47" t="s">
        <v>49</v>
      </c>
      <c r="E39" s="48">
        <v>0</v>
      </c>
      <c r="F39" s="48">
        <v>0.6</v>
      </c>
      <c r="G39" s="48">
        <v>0.6</v>
      </c>
      <c r="H39" s="48" t="s">
        <v>153</v>
      </c>
      <c r="I39" s="48" t="s">
        <v>148</v>
      </c>
      <c r="J39" s="48" t="s">
        <v>149</v>
      </c>
      <c r="K39" s="69">
        <f>L38</f>
        <v>46080</v>
      </c>
      <c r="L39" s="99">
        <f>K39+32</f>
        <v>46112</v>
      </c>
      <c r="M39" s="64"/>
      <c r="N39" s="68">
        <f t="shared" si="5"/>
        <v>33</v>
      </c>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row>
    <row r="40" spans="1:70" s="30" customFormat="1" ht="30" customHeight="1" thickBot="1">
      <c r="A40" s="31"/>
      <c r="B40" s="47" t="s">
        <v>24</v>
      </c>
      <c r="C40" s="47"/>
      <c r="D40" s="47" t="s">
        <v>40</v>
      </c>
      <c r="E40" s="48">
        <v>0</v>
      </c>
      <c r="F40" s="48">
        <v>0.9</v>
      </c>
      <c r="G40" s="48">
        <v>0.9</v>
      </c>
      <c r="H40" s="48" t="s">
        <v>152</v>
      </c>
      <c r="I40" s="48" t="s">
        <v>148</v>
      </c>
      <c r="J40" s="48" t="s">
        <v>149</v>
      </c>
      <c r="K40" s="69">
        <f>L38</f>
        <v>46080</v>
      </c>
      <c r="L40" s="99">
        <f>K40+32</f>
        <v>46112</v>
      </c>
      <c r="M40" s="64"/>
      <c r="N40" s="68">
        <f t="shared" si="5"/>
        <v>33</v>
      </c>
      <c r="O40" s="84"/>
      <c r="P40" s="84"/>
      <c r="Q40" s="84"/>
      <c r="R40" s="84"/>
      <c r="S40" s="84"/>
      <c r="T40" s="84"/>
      <c r="U40" s="84"/>
      <c r="V40" s="84"/>
      <c r="W40" s="84"/>
      <c r="X40" s="84"/>
      <c r="Y40" s="84"/>
      <c r="Z40" s="84"/>
      <c r="AA40" s="84"/>
      <c r="AB40" s="84"/>
      <c r="AC40" s="84"/>
      <c r="AD40" s="84"/>
      <c r="AE40" s="89"/>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row>
    <row r="41" spans="1:70" s="30" customFormat="1" ht="30" customHeight="1" thickBot="1">
      <c r="A41" s="34"/>
      <c r="B41" s="49" t="s">
        <v>50</v>
      </c>
      <c r="C41" s="49" t="s">
        <v>135</v>
      </c>
      <c r="D41" s="50"/>
      <c r="E41" s="51">
        <f>AVERAGE(E42:E45)</f>
        <v>0</v>
      </c>
      <c r="F41" s="51">
        <f>AVERAGE(F42:F45)</f>
        <v>0.75</v>
      </c>
      <c r="G41" s="51">
        <f>AVERAGE(G42:G45)</f>
        <v>0.875</v>
      </c>
      <c r="H41" s="51"/>
      <c r="I41" s="51"/>
      <c r="J41" s="51"/>
      <c r="K41" s="70">
        <f>MIN(K42:K45)</f>
        <v>46013</v>
      </c>
      <c r="L41" s="71">
        <f>MAX(L42:L45)</f>
        <v>46142</v>
      </c>
      <c r="M41" s="64"/>
      <c r="N41" s="68">
        <f t="shared" si="5"/>
        <v>130</v>
      </c>
    </row>
    <row r="42" spans="1:70" s="30" customFormat="1" ht="30" customHeight="1" thickBot="1">
      <c r="A42" s="34"/>
      <c r="B42" s="52" t="s">
        <v>51</v>
      </c>
      <c r="C42" s="52"/>
      <c r="D42" s="52" t="s">
        <v>52</v>
      </c>
      <c r="E42" s="53">
        <v>0</v>
      </c>
      <c r="F42" s="53">
        <v>1</v>
      </c>
      <c r="G42" s="53">
        <v>1</v>
      </c>
      <c r="H42" s="53"/>
      <c r="I42" s="53"/>
      <c r="J42" s="53"/>
      <c r="K42" s="72">
        <f>$K$37</f>
        <v>46013</v>
      </c>
      <c r="L42" s="72">
        <f>K37+129</f>
        <v>46142</v>
      </c>
      <c r="M42" s="64"/>
      <c r="N42" s="68">
        <f t="shared" si="5"/>
        <v>130</v>
      </c>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row>
    <row r="43" spans="1:70" s="30" customFormat="1" ht="30" customHeight="1" thickBot="1">
      <c r="A43" s="31"/>
      <c r="B43" s="91" t="s">
        <v>53</v>
      </c>
      <c r="C43" s="91"/>
      <c r="D43" s="52" t="s">
        <v>52</v>
      </c>
      <c r="E43" s="53">
        <v>0</v>
      </c>
      <c r="F43" s="53">
        <v>1</v>
      </c>
      <c r="G43" s="53">
        <v>1</v>
      </c>
      <c r="H43" s="53" t="s">
        <v>154</v>
      </c>
      <c r="I43" s="53" t="s">
        <v>136</v>
      </c>
      <c r="J43" s="53" t="s">
        <v>140</v>
      </c>
      <c r="K43" s="72">
        <f>K42</f>
        <v>46013</v>
      </c>
      <c r="L43" s="72">
        <f>K26+39+28</f>
        <v>46080</v>
      </c>
      <c r="M43" s="64"/>
      <c r="N43" s="68">
        <f t="shared" si="5"/>
        <v>68</v>
      </c>
      <c r="O43" s="84"/>
      <c r="P43" s="84"/>
      <c r="Q43" s="84"/>
      <c r="R43" s="84"/>
      <c r="S43" s="84"/>
      <c r="T43" s="84"/>
      <c r="U43" s="84"/>
      <c r="V43" s="84"/>
      <c r="W43" s="84"/>
      <c r="X43" s="84"/>
      <c r="Y43" s="84"/>
      <c r="Z43" s="84"/>
      <c r="AA43" s="89"/>
      <c r="AB43" s="89"/>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row>
    <row r="44" spans="1:70" s="30" customFormat="1" ht="30" customHeight="1" thickBot="1">
      <c r="A44" s="31"/>
      <c r="B44" s="91" t="s">
        <v>54</v>
      </c>
      <c r="C44" s="91"/>
      <c r="D44" s="52" t="s">
        <v>52</v>
      </c>
      <c r="E44" s="53">
        <v>0</v>
      </c>
      <c r="F44" s="53">
        <v>1</v>
      </c>
      <c r="G44" s="53">
        <v>1</v>
      </c>
      <c r="H44" s="53"/>
      <c r="I44" s="53"/>
      <c r="J44" s="53"/>
      <c r="K44" s="72">
        <f>K42</f>
        <v>46013</v>
      </c>
      <c r="L44" s="100">
        <f>K37+129</f>
        <v>46142</v>
      </c>
      <c r="M44" s="64"/>
      <c r="N44" s="68">
        <f t="shared" si="5"/>
        <v>130</v>
      </c>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row>
    <row r="45" spans="1:70" s="30" customFormat="1" ht="30" customHeight="1" thickBot="1">
      <c r="A45" s="31"/>
      <c r="B45" s="91" t="s">
        <v>24</v>
      </c>
      <c r="C45" s="91"/>
      <c r="D45" s="52" t="s">
        <v>52</v>
      </c>
      <c r="E45" s="53">
        <v>0</v>
      </c>
      <c r="F45" s="53">
        <v>0</v>
      </c>
      <c r="G45" s="53">
        <v>0.5</v>
      </c>
      <c r="H45" s="53"/>
      <c r="I45" s="53"/>
      <c r="J45" s="53"/>
      <c r="K45" s="72">
        <f>K42</f>
        <v>46013</v>
      </c>
      <c r="L45" s="100">
        <f>K37+129</f>
        <v>46142</v>
      </c>
      <c r="M45" s="64"/>
      <c r="N45" s="68">
        <f t="shared" si="5"/>
        <v>130</v>
      </c>
      <c r="O45" s="84"/>
      <c r="P45" s="84"/>
      <c r="Q45" s="84"/>
      <c r="R45" s="84"/>
      <c r="S45" s="84"/>
      <c r="T45" s="84"/>
      <c r="U45" s="84"/>
      <c r="V45" s="84"/>
      <c r="W45" s="84"/>
      <c r="X45" s="84"/>
      <c r="Y45" s="84"/>
      <c r="Z45" s="84"/>
      <c r="AA45" s="84"/>
      <c r="AB45" s="84"/>
      <c r="AC45" s="84"/>
      <c r="AD45" s="84"/>
      <c r="AE45" s="89"/>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row>
    <row r="46" spans="1:70" s="30" customFormat="1" ht="30" customHeight="1" thickBot="1">
      <c r="A46" s="31"/>
      <c r="B46" s="54" t="s">
        <v>55</v>
      </c>
      <c r="C46" s="54" t="s">
        <v>135</v>
      </c>
      <c r="D46" s="55"/>
      <c r="E46" s="56">
        <f>AVERAGE(E47:E49)</f>
        <v>0</v>
      </c>
      <c r="F46" s="56">
        <f>AVERAGE(F47:F49)</f>
        <v>0</v>
      </c>
      <c r="G46" s="56">
        <f>AVERAGE(G47:G51)</f>
        <v>0.9</v>
      </c>
      <c r="H46" s="56"/>
      <c r="I46" s="56"/>
      <c r="J46" s="56"/>
      <c r="K46" s="73">
        <f>MIN(K47:K49)</f>
        <v>46118</v>
      </c>
      <c r="L46" s="74">
        <f>MAX(L47:L49)</f>
        <v>46142</v>
      </c>
      <c r="M46" s="64"/>
      <c r="N46" s="68">
        <f t="shared" si="5"/>
        <v>25</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row>
    <row r="47" spans="1:70" s="30" customFormat="1" ht="30" customHeight="1" thickBot="1">
      <c r="A47" s="31"/>
      <c r="B47" s="92" t="s">
        <v>56</v>
      </c>
      <c r="C47" s="92"/>
      <c r="D47" s="93" t="s">
        <v>52</v>
      </c>
      <c r="E47" s="94">
        <v>0</v>
      </c>
      <c r="F47" s="94">
        <v>0</v>
      </c>
      <c r="G47" s="94">
        <v>1</v>
      </c>
      <c r="H47" s="94"/>
      <c r="I47" s="94"/>
      <c r="J47" s="94"/>
      <c r="K47" s="101">
        <f>L47-24</f>
        <v>46118</v>
      </c>
      <c r="L47" s="101">
        <v>46142</v>
      </c>
      <c r="M47" s="64"/>
      <c r="N47" s="68">
        <f t="shared" si="5"/>
        <v>25</v>
      </c>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row>
    <row r="48" spans="1:70" s="30" customFormat="1" ht="39" thickBot="1">
      <c r="A48" s="31"/>
      <c r="B48" s="93" t="s">
        <v>57</v>
      </c>
      <c r="C48" s="93"/>
      <c r="D48" s="93" t="s">
        <v>52</v>
      </c>
      <c r="E48" s="94">
        <v>0</v>
      </c>
      <c r="F48" s="94">
        <v>0</v>
      </c>
      <c r="G48" s="94">
        <v>1</v>
      </c>
      <c r="H48" s="94"/>
      <c r="I48" s="94"/>
      <c r="J48" s="94"/>
      <c r="K48" s="101">
        <f t="shared" ref="K48:K51" si="6">L48-24</f>
        <v>46118</v>
      </c>
      <c r="L48" s="101">
        <v>46142</v>
      </c>
      <c r="M48" s="64"/>
      <c r="N48" s="68">
        <f t="shared" si="5"/>
        <v>25</v>
      </c>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row>
    <row r="49" spans="1:70" s="30" customFormat="1" ht="30" customHeight="1" thickBot="1">
      <c r="A49" s="31"/>
      <c r="B49" s="93" t="s">
        <v>58</v>
      </c>
      <c r="C49" s="93"/>
      <c r="D49" s="93" t="s">
        <v>52</v>
      </c>
      <c r="E49" s="94">
        <v>0</v>
      </c>
      <c r="F49" s="94">
        <v>0</v>
      </c>
      <c r="G49" s="94">
        <v>1</v>
      </c>
      <c r="H49" s="94"/>
      <c r="I49" s="94"/>
      <c r="J49" s="94"/>
      <c r="K49" s="101">
        <f t="shared" si="6"/>
        <v>46118</v>
      </c>
      <c r="L49" s="101">
        <v>46142</v>
      </c>
      <c r="M49" s="64"/>
      <c r="N49" s="68">
        <f t="shared" si="5"/>
        <v>25</v>
      </c>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c r="BN49" s="84"/>
      <c r="BO49" s="84"/>
      <c r="BP49" s="84"/>
      <c r="BQ49" s="84"/>
      <c r="BR49" s="84"/>
    </row>
    <row r="50" spans="1:70" s="30" customFormat="1" ht="30" customHeight="1" thickBot="1">
      <c r="A50" s="31"/>
      <c r="B50" s="92" t="s">
        <v>59</v>
      </c>
      <c r="C50" s="92"/>
      <c r="D50" s="93" t="s">
        <v>52</v>
      </c>
      <c r="E50" s="94">
        <v>0</v>
      </c>
      <c r="F50" s="94">
        <v>0</v>
      </c>
      <c r="G50" s="94">
        <v>1</v>
      </c>
      <c r="H50" s="94"/>
      <c r="I50" s="94"/>
      <c r="J50" s="94"/>
      <c r="K50" s="101">
        <f t="shared" si="6"/>
        <v>46118</v>
      </c>
      <c r="L50" s="101">
        <v>46142</v>
      </c>
      <c r="M50" s="64"/>
      <c r="N50" s="68">
        <f t="shared" si="5"/>
        <v>25</v>
      </c>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row>
    <row r="51" spans="1:70" s="30" customFormat="1" ht="30" customHeight="1" thickBot="1">
      <c r="A51" s="31"/>
      <c r="B51" s="92" t="s">
        <v>24</v>
      </c>
      <c r="C51" s="92"/>
      <c r="D51" s="93" t="s">
        <v>52</v>
      </c>
      <c r="E51" s="94">
        <v>0</v>
      </c>
      <c r="F51" s="94">
        <v>0</v>
      </c>
      <c r="G51" s="94">
        <v>0.5</v>
      </c>
      <c r="H51" s="94"/>
      <c r="I51" s="94"/>
      <c r="J51" s="94"/>
      <c r="K51" s="101">
        <f t="shared" si="6"/>
        <v>46118</v>
      </c>
      <c r="L51" s="101">
        <v>46142</v>
      </c>
      <c r="M51" s="64"/>
      <c r="N51" s="68">
        <f t="shared" si="5"/>
        <v>25</v>
      </c>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row>
    <row r="52" spans="1:70" s="30" customFormat="1" ht="30" customHeight="1" thickBot="1">
      <c r="A52" s="31"/>
      <c r="B52" s="95" t="s">
        <v>60</v>
      </c>
      <c r="C52" s="95" t="s">
        <v>135</v>
      </c>
      <c r="D52" s="96"/>
      <c r="E52" s="97">
        <f>AVERAGE(E53:E56)</f>
        <v>0</v>
      </c>
      <c r="F52" s="97">
        <f>AVERAGE(F53:F56)</f>
        <v>0</v>
      </c>
      <c r="G52" s="97">
        <f>AVERAGE(G53:G56)</f>
        <v>0.75</v>
      </c>
      <c r="H52" s="97"/>
      <c r="I52" s="97"/>
      <c r="J52" s="97"/>
      <c r="K52" s="102">
        <f>MIN(K53:K56)</f>
        <v>46118</v>
      </c>
      <c r="L52" s="103">
        <f>MAX(L53:L56)</f>
        <v>46171</v>
      </c>
      <c r="M52" s="64"/>
      <c r="N52" s="68">
        <f t="shared" si="5"/>
        <v>54</v>
      </c>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row>
    <row r="53" spans="1:70" s="30" customFormat="1" ht="30" customHeight="1" thickBot="1">
      <c r="A53" s="31"/>
      <c r="B53" s="62" t="s">
        <v>61</v>
      </c>
      <c r="C53" s="62"/>
      <c r="D53" s="62" t="s">
        <v>52</v>
      </c>
      <c r="E53" s="63">
        <v>0</v>
      </c>
      <c r="F53" s="63">
        <v>0</v>
      </c>
      <c r="G53" s="63">
        <v>1</v>
      </c>
      <c r="H53" s="63"/>
      <c r="I53" s="63"/>
      <c r="J53" s="63"/>
      <c r="K53" s="78">
        <f>$K$47</f>
        <v>46118</v>
      </c>
      <c r="L53" s="78">
        <v>46142</v>
      </c>
      <c r="M53" s="64"/>
      <c r="N53" s="68">
        <f t="shared" si="5"/>
        <v>25</v>
      </c>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row>
    <row r="54" spans="1:70" s="30" customFormat="1" ht="30" customHeight="1" thickBot="1">
      <c r="A54" s="31"/>
      <c r="B54" s="62" t="s">
        <v>62</v>
      </c>
      <c r="C54" s="62"/>
      <c r="D54" s="62" t="s">
        <v>52</v>
      </c>
      <c r="E54" s="63">
        <v>0</v>
      </c>
      <c r="F54" s="63">
        <v>0</v>
      </c>
      <c r="G54" s="63">
        <v>1</v>
      </c>
      <c r="H54" s="63"/>
      <c r="I54" s="63"/>
      <c r="J54" s="63"/>
      <c r="K54" s="78">
        <f>K53</f>
        <v>46118</v>
      </c>
      <c r="L54" s="78">
        <v>46142</v>
      </c>
      <c r="M54" s="64"/>
      <c r="N54" s="68">
        <f t="shared" si="5"/>
        <v>25</v>
      </c>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row>
    <row r="55" spans="1:70" s="30" customFormat="1" ht="30" customHeight="1" thickBot="1">
      <c r="A55" s="31"/>
      <c r="B55" s="62" t="s">
        <v>63</v>
      </c>
      <c r="C55" s="62"/>
      <c r="D55" s="62" t="s">
        <v>52</v>
      </c>
      <c r="E55" s="63">
        <v>0</v>
      </c>
      <c r="F55" s="63">
        <v>0</v>
      </c>
      <c r="G55" s="63">
        <v>0.5</v>
      </c>
      <c r="H55" s="63"/>
      <c r="I55" s="63"/>
      <c r="J55" s="63"/>
      <c r="K55" s="78">
        <f>K53</f>
        <v>46118</v>
      </c>
      <c r="L55" s="78">
        <v>46142</v>
      </c>
      <c r="M55" s="64"/>
      <c r="N55" s="68">
        <f t="shared" si="5"/>
        <v>25</v>
      </c>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row>
    <row r="56" spans="1:70" s="30" customFormat="1" ht="30" customHeight="1" thickBot="1">
      <c r="A56" s="31"/>
      <c r="B56" s="62" t="s">
        <v>187</v>
      </c>
      <c r="C56" s="62" t="s">
        <v>174</v>
      </c>
      <c r="D56" s="62" t="s">
        <v>49</v>
      </c>
      <c r="E56" s="63">
        <v>0</v>
      </c>
      <c r="F56" s="63">
        <v>0</v>
      </c>
      <c r="G56" s="63">
        <v>0.5</v>
      </c>
      <c r="H56" s="63" t="s">
        <v>153</v>
      </c>
      <c r="I56" s="63"/>
      <c r="J56" s="63"/>
      <c r="K56" s="78">
        <f>K54</f>
        <v>46118</v>
      </c>
      <c r="L56" s="78">
        <f>L72</f>
        <v>46171</v>
      </c>
      <c r="M56" s="64"/>
      <c r="N56" s="68"/>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row>
    <row r="57" spans="1:70" s="30" customFormat="1" ht="30" customHeight="1" thickBot="1">
      <c r="A57" s="34"/>
      <c r="B57" s="44" t="s">
        <v>64</v>
      </c>
      <c r="C57" s="44" t="s">
        <v>171</v>
      </c>
      <c r="D57" s="45"/>
      <c r="E57" s="46">
        <f>AVERAGE(E58:E62)</f>
        <v>0</v>
      </c>
      <c r="F57" s="46">
        <f>AVERAGE(F58:F62)</f>
        <v>0</v>
      </c>
      <c r="G57" s="46">
        <f>AVERAGEA(G58:G62)</f>
        <v>1</v>
      </c>
      <c r="H57" s="46"/>
      <c r="I57" s="46"/>
      <c r="J57" s="46"/>
      <c r="K57" s="66">
        <f>MIN(K58:K62)</f>
        <v>46118</v>
      </c>
      <c r="L57" s="67">
        <f>MAX(L58:L62)</f>
        <v>46142</v>
      </c>
      <c r="M57" s="64"/>
      <c r="N57" s="68">
        <f t="shared" si="5"/>
        <v>25</v>
      </c>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row>
    <row r="58" spans="1:70" s="30" customFormat="1" ht="30" customHeight="1" thickBot="1">
      <c r="A58" s="34"/>
      <c r="B58" s="98" t="s">
        <v>65</v>
      </c>
      <c r="C58" s="98"/>
      <c r="D58" s="47" t="s">
        <v>12</v>
      </c>
      <c r="E58" s="48">
        <v>0</v>
      </c>
      <c r="F58" s="48">
        <v>0</v>
      </c>
      <c r="G58" s="48">
        <v>1</v>
      </c>
      <c r="H58" s="48"/>
      <c r="I58" s="48"/>
      <c r="J58" s="48"/>
      <c r="K58" s="69">
        <f>$K$53</f>
        <v>46118</v>
      </c>
      <c r="L58" s="69">
        <v>46142</v>
      </c>
      <c r="M58" s="64"/>
      <c r="N58" s="68">
        <f t="shared" si="5"/>
        <v>25</v>
      </c>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c r="BN58" s="84"/>
      <c r="BO58" s="84"/>
      <c r="BP58" s="84"/>
      <c r="BQ58" s="84"/>
      <c r="BR58" s="84"/>
    </row>
    <row r="59" spans="1:70" s="30" customFormat="1" ht="30" customHeight="1" thickBot="1">
      <c r="A59" s="34"/>
      <c r="B59" s="98" t="s">
        <v>66</v>
      </c>
      <c r="C59" s="98"/>
      <c r="D59" s="47" t="s">
        <v>12</v>
      </c>
      <c r="E59" s="48">
        <v>0</v>
      </c>
      <c r="F59" s="48">
        <v>0</v>
      </c>
      <c r="G59" s="48">
        <v>1</v>
      </c>
      <c r="H59" s="48"/>
      <c r="I59" s="48"/>
      <c r="J59" s="48"/>
      <c r="K59" s="69">
        <f>K58</f>
        <v>46118</v>
      </c>
      <c r="L59" s="69">
        <v>46142</v>
      </c>
      <c r="M59" s="64"/>
      <c r="N59" s="68">
        <f t="shared" si="5"/>
        <v>25</v>
      </c>
      <c r="O59" s="84"/>
      <c r="P59" s="84"/>
      <c r="Q59" s="84"/>
      <c r="R59" s="84"/>
      <c r="S59" s="84"/>
      <c r="T59" s="84"/>
      <c r="U59" s="84"/>
      <c r="V59" s="84"/>
      <c r="W59" s="84"/>
      <c r="X59" s="84"/>
      <c r="Y59" s="84"/>
      <c r="Z59" s="84"/>
      <c r="AA59" s="89"/>
      <c r="AB59" s="89"/>
      <c r="AC59" s="84"/>
      <c r="AD59" s="84"/>
      <c r="AE59" s="84"/>
      <c r="AF59" s="84"/>
      <c r="AG59" s="84"/>
      <c r="AH59" s="84"/>
      <c r="AI59" s="84"/>
      <c r="AJ59" s="84"/>
      <c r="AK59" s="84"/>
      <c r="AL59" s="84"/>
      <c r="AM59" s="84"/>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c r="BN59" s="84"/>
      <c r="BO59" s="84"/>
      <c r="BP59" s="84"/>
      <c r="BQ59" s="84"/>
      <c r="BR59" s="84"/>
    </row>
    <row r="60" spans="1:70" s="30" customFormat="1" ht="30" customHeight="1" thickBot="1">
      <c r="A60" s="31"/>
      <c r="B60" s="98" t="s">
        <v>67</v>
      </c>
      <c r="C60" s="98"/>
      <c r="D60" s="47" t="s">
        <v>12</v>
      </c>
      <c r="E60" s="48">
        <v>0</v>
      </c>
      <c r="F60" s="48">
        <v>0</v>
      </c>
      <c r="G60" s="48">
        <v>1</v>
      </c>
      <c r="H60" s="48"/>
      <c r="I60" s="48"/>
      <c r="J60" s="48"/>
      <c r="K60" s="69">
        <f>K58</f>
        <v>46118</v>
      </c>
      <c r="L60" s="69">
        <v>46142</v>
      </c>
      <c r="M60" s="64"/>
      <c r="N60" s="68">
        <f t="shared" si="5"/>
        <v>25</v>
      </c>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c r="BN60" s="84"/>
      <c r="BO60" s="84"/>
      <c r="BP60" s="84"/>
      <c r="BQ60" s="84"/>
      <c r="BR60" s="84"/>
    </row>
    <row r="61" spans="1:70" s="30" customFormat="1" ht="30" customHeight="1" thickBot="1">
      <c r="A61" s="31"/>
      <c r="B61" s="98" t="s">
        <v>68</v>
      </c>
      <c r="C61" s="98"/>
      <c r="D61" s="47" t="s">
        <v>12</v>
      </c>
      <c r="E61" s="48">
        <v>0</v>
      </c>
      <c r="F61" s="48">
        <v>0</v>
      </c>
      <c r="G61" s="48">
        <v>1</v>
      </c>
      <c r="H61" s="48"/>
      <c r="I61" s="48"/>
      <c r="J61" s="48"/>
      <c r="K61" s="69">
        <f>K58</f>
        <v>46118</v>
      </c>
      <c r="L61" s="69">
        <v>46142</v>
      </c>
      <c r="M61" s="64"/>
      <c r="N61" s="68">
        <f t="shared" si="5"/>
        <v>25</v>
      </c>
      <c r="O61" s="84"/>
      <c r="P61" s="84"/>
      <c r="Q61" s="84"/>
      <c r="R61" s="84"/>
      <c r="S61" s="84"/>
      <c r="T61" s="84"/>
      <c r="U61" s="84"/>
      <c r="V61" s="84"/>
      <c r="W61" s="84"/>
      <c r="X61" s="84"/>
      <c r="Y61" s="84"/>
      <c r="Z61" s="84"/>
      <c r="AA61" s="84"/>
      <c r="AB61" s="84"/>
      <c r="AC61" s="84"/>
      <c r="AD61" s="84"/>
      <c r="AE61" s="89"/>
      <c r="AF61" s="84"/>
      <c r="AG61" s="84"/>
      <c r="AH61" s="84"/>
      <c r="AI61" s="84"/>
      <c r="AJ61" s="84"/>
      <c r="AK61" s="84"/>
      <c r="AL61" s="84"/>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4"/>
      <c r="BO61" s="84"/>
      <c r="BP61" s="84"/>
      <c r="BQ61" s="84"/>
      <c r="BR61" s="84"/>
    </row>
    <row r="62" spans="1:70" s="30" customFormat="1" ht="30" customHeight="1" thickBot="1">
      <c r="A62" s="31"/>
      <c r="B62" s="98" t="s">
        <v>69</v>
      </c>
      <c r="C62" s="98"/>
      <c r="D62" s="47" t="s">
        <v>12</v>
      </c>
      <c r="E62" s="48">
        <v>0</v>
      </c>
      <c r="F62" s="48">
        <v>0</v>
      </c>
      <c r="G62" s="48">
        <v>1</v>
      </c>
      <c r="H62" s="48"/>
      <c r="I62" s="48"/>
      <c r="J62" s="48"/>
      <c r="K62" s="69">
        <f>K58</f>
        <v>46118</v>
      </c>
      <c r="L62" s="69">
        <v>46142</v>
      </c>
      <c r="M62" s="64"/>
      <c r="N62" s="68">
        <f t="shared" si="5"/>
        <v>25</v>
      </c>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row>
    <row r="63" spans="1:70" s="30" customFormat="1" ht="30" customHeight="1" thickBot="1">
      <c r="A63" s="34"/>
      <c r="B63" s="49" t="s">
        <v>70</v>
      </c>
      <c r="C63" s="49" t="s">
        <v>135</v>
      </c>
      <c r="D63" s="50"/>
      <c r="E63" s="51">
        <f>AVERAGE(E64:E68)</f>
        <v>0</v>
      </c>
      <c r="F63" s="51">
        <f>AVERAGE(F64:F68)</f>
        <v>0</v>
      </c>
      <c r="G63" s="51">
        <f>AVERAGE(G64:G65)</f>
        <v>1</v>
      </c>
      <c r="H63" s="51"/>
      <c r="I63" s="51"/>
      <c r="J63" s="51"/>
      <c r="K63" s="70">
        <f>MIN(K64:K68)</f>
        <v>46118</v>
      </c>
      <c r="L63" s="71">
        <f>MAX(L64:L68)</f>
        <v>46142</v>
      </c>
      <c r="M63" s="64"/>
      <c r="N63" s="68">
        <f t="shared" si="5"/>
        <v>25</v>
      </c>
    </row>
    <row r="64" spans="1:70" s="30" customFormat="1" ht="30" customHeight="1" thickBot="1">
      <c r="A64" s="34"/>
      <c r="B64" s="52" t="s">
        <v>179</v>
      </c>
      <c r="C64" s="52"/>
      <c r="D64" s="52"/>
      <c r="E64" s="53">
        <v>0</v>
      </c>
      <c r="F64" s="53">
        <v>0</v>
      </c>
      <c r="G64" s="53">
        <v>1</v>
      </c>
      <c r="H64" s="53"/>
      <c r="I64" s="53"/>
      <c r="J64" s="53"/>
      <c r="K64" s="72">
        <f>$K$58</f>
        <v>46118</v>
      </c>
      <c r="L64" s="72">
        <v>46142</v>
      </c>
      <c r="M64" s="64"/>
      <c r="N64" s="68">
        <f t="shared" si="5"/>
        <v>25</v>
      </c>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4"/>
      <c r="BO64" s="84"/>
      <c r="BP64" s="84"/>
      <c r="BQ64" s="84"/>
      <c r="BR64" s="84"/>
    </row>
    <row r="65" spans="1:70" s="30" customFormat="1" ht="30" customHeight="1" thickBot="1">
      <c r="A65" s="31"/>
      <c r="B65" s="52" t="s">
        <v>180</v>
      </c>
      <c r="C65" s="52"/>
      <c r="D65" s="52"/>
      <c r="E65" s="53">
        <v>0</v>
      </c>
      <c r="F65" s="53">
        <v>0</v>
      </c>
      <c r="G65" s="53">
        <v>1</v>
      </c>
      <c r="H65" s="53"/>
      <c r="I65" s="53"/>
      <c r="J65" s="53"/>
      <c r="K65" s="72">
        <f>K64</f>
        <v>46118</v>
      </c>
      <c r="L65" s="72">
        <v>46142</v>
      </c>
      <c r="M65" s="64"/>
      <c r="N65" s="68">
        <f t="shared" si="5"/>
        <v>25</v>
      </c>
      <c r="O65" s="84"/>
      <c r="P65" s="84"/>
      <c r="Q65" s="84"/>
      <c r="R65" s="84"/>
      <c r="S65" s="84"/>
      <c r="T65" s="84"/>
      <c r="U65" s="84"/>
      <c r="V65" s="84"/>
      <c r="W65" s="84"/>
      <c r="X65" s="84"/>
      <c r="Y65" s="84"/>
      <c r="Z65" s="84"/>
      <c r="AA65" s="89"/>
      <c r="AB65" s="89"/>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row>
    <row r="66" spans="1:70" s="30" customFormat="1" ht="30" customHeight="1" thickBot="1">
      <c r="A66" s="31"/>
      <c r="B66" s="52"/>
      <c r="C66" s="52"/>
      <c r="D66" s="52"/>
      <c r="E66" s="53"/>
      <c r="F66" s="53"/>
      <c r="G66" s="53"/>
      <c r="H66" s="53"/>
      <c r="I66" s="53"/>
      <c r="J66" s="53"/>
      <c r="K66" s="72"/>
      <c r="L66" s="72"/>
      <c r="M66" s="64"/>
      <c r="N66" s="68" t="str">
        <f t="shared" si="5"/>
        <v/>
      </c>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4"/>
      <c r="BO66" s="84"/>
      <c r="BP66" s="84"/>
      <c r="BQ66" s="84"/>
      <c r="BR66" s="84"/>
    </row>
    <row r="67" spans="1:70" s="30" customFormat="1" ht="30" customHeight="1" thickBot="1">
      <c r="A67" s="31"/>
      <c r="B67" s="52"/>
      <c r="C67" s="52"/>
      <c r="D67" s="52"/>
      <c r="E67" s="53"/>
      <c r="F67" s="53"/>
      <c r="G67" s="53"/>
      <c r="H67" s="53"/>
      <c r="I67" s="53"/>
      <c r="J67" s="53"/>
      <c r="K67" s="72"/>
      <c r="L67" s="72"/>
      <c r="M67" s="64"/>
      <c r="N67" s="68" t="str">
        <f t="shared" si="5"/>
        <v/>
      </c>
      <c r="O67" s="84"/>
      <c r="P67" s="84"/>
      <c r="Q67" s="84"/>
      <c r="R67" s="84"/>
      <c r="S67" s="84"/>
      <c r="T67" s="84"/>
      <c r="U67" s="84"/>
      <c r="V67" s="84"/>
      <c r="W67" s="84"/>
      <c r="X67" s="84"/>
      <c r="Y67" s="84"/>
      <c r="Z67" s="84"/>
      <c r="AA67" s="84"/>
      <c r="AB67" s="84"/>
      <c r="AC67" s="84"/>
      <c r="AD67" s="84"/>
      <c r="AE67" s="89"/>
      <c r="AF67" s="84"/>
      <c r="AG67" s="84"/>
      <c r="AH67" s="84"/>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4"/>
      <c r="BO67" s="84"/>
      <c r="BP67" s="84"/>
      <c r="BQ67" s="84"/>
      <c r="BR67" s="84"/>
    </row>
    <row r="68" spans="1:70" s="30" customFormat="1" ht="30" customHeight="1" thickBot="1">
      <c r="A68" s="31"/>
      <c r="B68" s="104"/>
      <c r="C68" s="104"/>
      <c r="D68" s="52"/>
      <c r="E68" s="53"/>
      <c r="F68" s="53"/>
      <c r="G68" s="53"/>
      <c r="H68" s="53"/>
      <c r="I68" s="53"/>
      <c r="J68" s="53"/>
      <c r="K68" s="72"/>
      <c r="L68" s="72"/>
      <c r="M68" s="64"/>
      <c r="N68" s="68" t="str">
        <f t="shared" si="5"/>
        <v/>
      </c>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row>
    <row r="69" spans="1:70" s="30" customFormat="1" ht="30" customHeight="1" thickBot="1">
      <c r="A69" s="31"/>
      <c r="B69" s="105"/>
      <c r="C69" s="105"/>
      <c r="D69" s="52"/>
      <c r="E69" s="53"/>
      <c r="F69" s="53"/>
      <c r="G69" s="53"/>
      <c r="H69" s="53"/>
      <c r="I69" s="53"/>
      <c r="J69" s="53"/>
      <c r="K69" s="72"/>
      <c r="L69" s="72"/>
      <c r="M69" s="64"/>
      <c r="N69" s="68"/>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row>
    <row r="70" spans="1:70" s="30" customFormat="1" ht="30" customHeight="1" thickBot="1">
      <c r="A70" s="31"/>
      <c r="B70" s="54" t="s">
        <v>71</v>
      </c>
      <c r="C70" s="54" t="s">
        <v>135</v>
      </c>
      <c r="D70" s="55"/>
      <c r="E70" s="56">
        <f>AVERAGE(E71:E73)</f>
        <v>0</v>
      </c>
      <c r="F70" s="56">
        <f>AVERAGE(F71:F73)</f>
        <v>0</v>
      </c>
      <c r="G70" s="56">
        <f>AVERAGE(G71:G74)</f>
        <v>0.875</v>
      </c>
      <c r="H70" s="56"/>
      <c r="I70" s="56"/>
      <c r="J70" s="56"/>
      <c r="K70" s="73">
        <f>MIN(K71:K73)</f>
        <v>46142</v>
      </c>
      <c r="L70" s="74">
        <f>MAX(L71:L73)</f>
        <v>46171</v>
      </c>
      <c r="M70" s="64"/>
      <c r="N70" s="68">
        <f t="shared" si="5"/>
        <v>30</v>
      </c>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c r="AS70" s="85"/>
      <c r="AT70" s="85"/>
      <c r="AU70" s="85"/>
      <c r="AV70" s="85"/>
      <c r="AW70" s="85"/>
      <c r="AX70" s="85"/>
      <c r="AY70" s="85"/>
      <c r="AZ70" s="85"/>
      <c r="BA70" s="85"/>
      <c r="BB70" s="85"/>
      <c r="BC70" s="85"/>
      <c r="BD70" s="85"/>
      <c r="BE70" s="85"/>
      <c r="BF70" s="85"/>
      <c r="BG70" s="85"/>
      <c r="BH70" s="85"/>
      <c r="BI70" s="85"/>
      <c r="BJ70" s="85"/>
      <c r="BK70" s="85"/>
      <c r="BL70" s="85"/>
      <c r="BM70" s="85"/>
      <c r="BN70" s="85"/>
      <c r="BO70" s="85"/>
      <c r="BP70" s="85"/>
      <c r="BQ70" s="85"/>
      <c r="BR70" s="85"/>
    </row>
    <row r="71" spans="1:70" s="30" customFormat="1" ht="30" customHeight="1" thickBot="1">
      <c r="A71" s="31"/>
      <c r="B71" s="92" t="s">
        <v>72</v>
      </c>
      <c r="C71" s="92"/>
      <c r="D71" s="93"/>
      <c r="E71" s="94">
        <v>0</v>
      </c>
      <c r="F71" s="94">
        <v>0</v>
      </c>
      <c r="G71" s="94">
        <v>1</v>
      </c>
      <c r="H71" s="94"/>
      <c r="I71" s="94"/>
      <c r="J71" s="94"/>
      <c r="K71" s="101">
        <f>L64</f>
        <v>46142</v>
      </c>
      <c r="L71" s="101">
        <v>46171</v>
      </c>
      <c r="M71" s="64"/>
      <c r="N71" s="68">
        <f t="shared" si="5"/>
        <v>30</v>
      </c>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row>
    <row r="72" spans="1:70" s="30" customFormat="1" ht="30" customHeight="1" thickBot="1">
      <c r="A72" s="31"/>
      <c r="B72" s="92" t="s">
        <v>73</v>
      </c>
      <c r="C72" s="92"/>
      <c r="D72" s="93"/>
      <c r="E72" s="94">
        <v>0</v>
      </c>
      <c r="F72" s="94">
        <v>0</v>
      </c>
      <c r="G72" s="94">
        <v>1</v>
      </c>
      <c r="H72" s="94"/>
      <c r="I72" s="94"/>
      <c r="J72" s="94"/>
      <c r="K72" s="101">
        <f>K71</f>
        <v>46142</v>
      </c>
      <c r="L72" s="101">
        <v>46171</v>
      </c>
      <c r="M72" s="64"/>
      <c r="N72" s="68">
        <f t="shared" si="5"/>
        <v>30</v>
      </c>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c r="BO72" s="84"/>
      <c r="BP72" s="84"/>
      <c r="BQ72" s="84"/>
      <c r="BR72" s="84"/>
    </row>
    <row r="73" spans="1:70" s="30" customFormat="1" ht="30" customHeight="1" thickBot="1">
      <c r="A73" s="31"/>
      <c r="B73" s="92" t="s">
        <v>74</v>
      </c>
      <c r="C73" s="92"/>
      <c r="D73" s="93"/>
      <c r="E73" s="94">
        <v>0</v>
      </c>
      <c r="F73" s="94">
        <v>0</v>
      </c>
      <c r="G73" s="94">
        <v>1</v>
      </c>
      <c r="H73" s="94"/>
      <c r="I73" s="94"/>
      <c r="J73" s="94"/>
      <c r="K73" s="101">
        <f>K71</f>
        <v>46142</v>
      </c>
      <c r="L73" s="101">
        <v>46171</v>
      </c>
      <c r="M73" s="64"/>
      <c r="N73" s="68">
        <f t="shared" si="5"/>
        <v>30</v>
      </c>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row>
    <row r="74" spans="1:70" s="30" customFormat="1" ht="30" customHeight="1" thickBot="1">
      <c r="A74" s="31"/>
      <c r="B74" s="92" t="s">
        <v>24</v>
      </c>
      <c r="C74" s="92"/>
      <c r="D74" s="93"/>
      <c r="E74" s="94">
        <v>0</v>
      </c>
      <c r="F74" s="94">
        <v>0</v>
      </c>
      <c r="G74" s="94">
        <v>0.5</v>
      </c>
      <c r="H74" s="144" t="s">
        <v>157</v>
      </c>
      <c r="I74" s="94"/>
      <c r="J74" s="94"/>
      <c r="K74" s="101">
        <f>K73</f>
        <v>46142</v>
      </c>
      <c r="L74" s="101">
        <v>46171</v>
      </c>
      <c r="M74" s="64"/>
      <c r="N74" s="68">
        <f t="shared" si="5"/>
        <v>30</v>
      </c>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row>
    <row r="75" spans="1:70" s="30" customFormat="1" ht="30" customHeight="1" thickBot="1">
      <c r="A75" s="31"/>
      <c r="B75" s="95" t="s">
        <v>75</v>
      </c>
      <c r="C75" s="95"/>
      <c r="D75" s="96"/>
      <c r="E75" s="97">
        <f>AVERAGE(E76:E79)</f>
        <v>0</v>
      </c>
      <c r="F75" s="97">
        <f>AVERAGE(F76:F79)</f>
        <v>0</v>
      </c>
      <c r="G75" s="97">
        <f>AVERAGE(G76:G79)</f>
        <v>0.875</v>
      </c>
      <c r="H75" s="97"/>
      <c r="I75" s="97"/>
      <c r="J75" s="97"/>
      <c r="K75" s="102">
        <f>MIN(K76:K79)</f>
        <v>46118</v>
      </c>
      <c r="L75" s="103">
        <f>MAX(L76:L79)</f>
        <v>46142</v>
      </c>
      <c r="M75" s="64"/>
      <c r="N75" s="68">
        <f t="shared" si="5"/>
        <v>25</v>
      </c>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c r="BP75" s="86"/>
      <c r="BQ75" s="86"/>
      <c r="BR75" s="86"/>
    </row>
    <row r="76" spans="1:70" s="30" customFormat="1" ht="30" customHeight="1" thickBot="1">
      <c r="A76" s="31"/>
      <c r="B76" s="106" t="s">
        <v>76</v>
      </c>
      <c r="C76" s="106"/>
      <c r="D76" s="62"/>
      <c r="E76" s="63">
        <v>0</v>
      </c>
      <c r="F76" s="63">
        <v>0</v>
      </c>
      <c r="G76" s="63">
        <v>1</v>
      </c>
      <c r="H76" s="63"/>
      <c r="I76" s="63"/>
      <c r="J76" s="63"/>
      <c r="K76" s="78">
        <f>K65</f>
        <v>46118</v>
      </c>
      <c r="L76" s="78">
        <v>46142</v>
      </c>
      <c r="M76" s="64"/>
      <c r="N76" s="68">
        <f t="shared" si="5"/>
        <v>25</v>
      </c>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row>
    <row r="77" spans="1:70" s="30" customFormat="1" ht="30" customHeight="1" thickBot="1">
      <c r="A77" s="31"/>
      <c r="B77" s="106" t="s">
        <v>77</v>
      </c>
      <c r="C77" s="106"/>
      <c r="D77" s="62"/>
      <c r="E77" s="63">
        <v>0</v>
      </c>
      <c r="F77" s="63">
        <v>0</v>
      </c>
      <c r="G77" s="63">
        <v>1</v>
      </c>
      <c r="H77" s="63"/>
      <c r="I77" s="63"/>
      <c r="J77" s="63"/>
      <c r="K77" s="78">
        <f>K76</f>
        <v>46118</v>
      </c>
      <c r="L77" s="78">
        <v>46142</v>
      </c>
      <c r="M77" s="64"/>
      <c r="N77" s="68">
        <f t="shared" si="5"/>
        <v>25</v>
      </c>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row>
    <row r="78" spans="1:70" s="30" customFormat="1" ht="30" customHeight="1" thickBot="1">
      <c r="A78" s="31"/>
      <c r="B78" s="106" t="s">
        <v>78</v>
      </c>
      <c r="C78" s="106"/>
      <c r="D78" s="62"/>
      <c r="E78" s="63">
        <v>0</v>
      </c>
      <c r="F78" s="63">
        <v>0</v>
      </c>
      <c r="G78" s="63">
        <v>1</v>
      </c>
      <c r="H78" s="63"/>
      <c r="I78" s="63"/>
      <c r="J78" s="63"/>
      <c r="K78" s="78">
        <f>K64</f>
        <v>46118</v>
      </c>
      <c r="L78" s="78">
        <v>46142</v>
      </c>
      <c r="M78" s="64"/>
      <c r="N78" s="68"/>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row>
    <row r="79" spans="1:70" s="30" customFormat="1" ht="30" customHeight="1" thickBot="1">
      <c r="A79" s="31"/>
      <c r="B79" s="106" t="s">
        <v>24</v>
      </c>
      <c r="C79" s="106"/>
      <c r="D79" s="62"/>
      <c r="E79" s="63">
        <v>0</v>
      </c>
      <c r="F79" s="63">
        <v>0</v>
      </c>
      <c r="G79" s="63">
        <v>0.5</v>
      </c>
      <c r="H79" s="145" t="s">
        <v>157</v>
      </c>
      <c r="I79" s="63"/>
      <c r="J79" s="63"/>
      <c r="K79" s="78">
        <f>K78</f>
        <v>46118</v>
      </c>
      <c r="L79" s="78">
        <v>46142</v>
      </c>
      <c r="M79" s="64"/>
      <c r="N79" s="68">
        <f t="shared" si="5"/>
        <v>25</v>
      </c>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row>
    <row r="80" spans="1:70" s="30" customFormat="1" ht="30" customHeight="1" thickBot="1">
      <c r="A80" s="34"/>
      <c r="B80" s="44" t="s">
        <v>79</v>
      </c>
      <c r="C80" s="44"/>
      <c r="D80" s="45"/>
      <c r="E80" s="46">
        <f>AVERAGE(E81:E85)</f>
        <v>0</v>
      </c>
      <c r="F80" s="46">
        <f>AVERAGE(F81:F85)</f>
        <v>0</v>
      </c>
      <c r="G80" s="46">
        <f>G81</f>
        <v>1</v>
      </c>
      <c r="H80" s="46"/>
      <c r="I80" s="46"/>
      <c r="J80" s="46"/>
      <c r="K80" s="66">
        <f>MIN(K81:K85)</f>
        <v>46118</v>
      </c>
      <c r="L80" s="67">
        <f>MAX(L81:L85)</f>
        <v>46142</v>
      </c>
      <c r="M80" s="64"/>
      <c r="N80" s="68">
        <f t="shared" si="5"/>
        <v>25</v>
      </c>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row>
    <row r="81" spans="1:70" s="30" customFormat="1" ht="30" customHeight="1" thickBot="1">
      <c r="A81" s="34"/>
      <c r="B81" s="98" t="s">
        <v>181</v>
      </c>
      <c r="C81" s="98"/>
      <c r="D81" s="47"/>
      <c r="E81" s="48">
        <v>0</v>
      </c>
      <c r="F81" s="48">
        <v>0</v>
      </c>
      <c r="G81" s="48">
        <v>1</v>
      </c>
      <c r="H81" s="48"/>
      <c r="I81" s="48"/>
      <c r="J81" s="48"/>
      <c r="K81" s="69">
        <f>K76</f>
        <v>46118</v>
      </c>
      <c r="L81" s="69">
        <v>46142</v>
      </c>
      <c r="M81" s="64"/>
      <c r="N81" s="68">
        <f t="shared" si="5"/>
        <v>25</v>
      </c>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row>
    <row r="82" spans="1:70" s="30" customFormat="1" ht="30" customHeight="1" thickBot="1">
      <c r="A82" s="34"/>
      <c r="B82" s="98"/>
      <c r="C82" s="98"/>
      <c r="D82" s="47"/>
      <c r="E82" s="48">
        <v>0</v>
      </c>
      <c r="F82" s="48">
        <v>0</v>
      </c>
      <c r="G82" s="146" t="s">
        <v>158</v>
      </c>
      <c r="H82" s="48"/>
      <c r="I82" s="48"/>
      <c r="J82" s="48"/>
      <c r="K82" s="69">
        <f>K81</f>
        <v>46118</v>
      </c>
      <c r="L82" s="69"/>
      <c r="M82" s="64"/>
      <c r="N82" s="68" t="str">
        <f t="shared" si="5"/>
        <v/>
      </c>
      <c r="O82" s="84"/>
      <c r="P82" s="84"/>
      <c r="Q82" s="84"/>
      <c r="R82" s="84"/>
      <c r="S82" s="84"/>
      <c r="T82" s="84"/>
      <c r="U82" s="84"/>
      <c r="V82" s="84"/>
      <c r="W82" s="84"/>
      <c r="X82" s="84"/>
      <c r="Y82" s="84"/>
      <c r="Z82" s="84"/>
      <c r="AA82" s="89"/>
      <c r="AB82" s="89"/>
      <c r="AC82" s="84"/>
      <c r="AD82" s="84"/>
      <c r="AE82" s="84"/>
      <c r="AF82" s="84"/>
      <c r="AG82" s="84"/>
      <c r="AH82" s="84"/>
      <c r="AI82" s="84"/>
      <c r="AJ82" s="84"/>
      <c r="AK82" s="84"/>
      <c r="AL82" s="84"/>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row>
    <row r="83" spans="1:70" s="30" customFormat="1" ht="30" customHeight="1" thickBot="1">
      <c r="A83" s="31"/>
      <c r="B83" s="98"/>
      <c r="C83" s="98"/>
      <c r="D83" s="47"/>
      <c r="E83" s="48">
        <v>0</v>
      </c>
      <c r="F83" s="48">
        <v>0</v>
      </c>
      <c r="G83" s="146" t="s">
        <v>158</v>
      </c>
      <c r="H83" s="48"/>
      <c r="I83" s="48"/>
      <c r="J83" s="48"/>
      <c r="K83" s="69">
        <f>K81</f>
        <v>46118</v>
      </c>
      <c r="L83" s="69"/>
      <c r="M83" s="64"/>
      <c r="N83" s="68" t="str">
        <f t="shared" si="5"/>
        <v/>
      </c>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row>
    <row r="84" spans="1:70" s="30" customFormat="1" ht="30" customHeight="1" thickBot="1">
      <c r="A84" s="31"/>
      <c r="B84" s="98"/>
      <c r="C84" s="98"/>
      <c r="D84" s="47"/>
      <c r="E84" s="48">
        <v>0</v>
      </c>
      <c r="F84" s="48">
        <v>0</v>
      </c>
      <c r="G84" s="146" t="s">
        <v>158</v>
      </c>
      <c r="H84" s="48"/>
      <c r="I84" s="48"/>
      <c r="J84" s="48"/>
      <c r="K84" s="69">
        <f>K81</f>
        <v>46118</v>
      </c>
      <c r="L84" s="69"/>
      <c r="M84" s="64"/>
      <c r="N84" s="68" t="str">
        <f t="shared" si="5"/>
        <v/>
      </c>
      <c r="O84" s="84"/>
      <c r="P84" s="84"/>
      <c r="Q84" s="84"/>
      <c r="R84" s="84"/>
      <c r="S84" s="84"/>
      <c r="T84" s="84"/>
      <c r="U84" s="84"/>
      <c r="V84" s="84"/>
      <c r="W84" s="84"/>
      <c r="X84" s="84"/>
      <c r="Y84" s="84"/>
      <c r="Z84" s="84"/>
      <c r="AA84" s="84"/>
      <c r="AB84" s="84"/>
      <c r="AC84" s="84"/>
      <c r="AD84" s="84"/>
      <c r="AE84" s="89"/>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row>
    <row r="85" spans="1:70" s="30" customFormat="1" ht="30" customHeight="1" thickBot="1">
      <c r="A85" s="31"/>
      <c r="B85" s="98"/>
      <c r="C85" s="98"/>
      <c r="D85" s="47"/>
      <c r="E85" s="48">
        <v>0</v>
      </c>
      <c r="F85" s="48">
        <v>0</v>
      </c>
      <c r="G85" s="146" t="s">
        <v>158</v>
      </c>
      <c r="H85" s="48"/>
      <c r="I85" s="48"/>
      <c r="J85" s="48"/>
      <c r="K85" s="69">
        <f>K81</f>
        <v>46118</v>
      </c>
      <c r="L85" s="69"/>
      <c r="M85" s="64"/>
      <c r="N85" s="68" t="str">
        <f t="shared" si="5"/>
        <v/>
      </c>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row>
    <row r="86" spans="1:70" s="30" customFormat="1" ht="30" customHeight="1" thickBot="1">
      <c r="A86" s="34"/>
      <c r="B86" s="49" t="s">
        <v>80</v>
      </c>
      <c r="C86" s="49"/>
      <c r="D86" s="50"/>
      <c r="E86" s="51">
        <f>AVERAGE(E87:E91)</f>
        <v>0</v>
      </c>
      <c r="F86" s="51">
        <f>AVERAGE(F87:F91)</f>
        <v>0</v>
      </c>
      <c r="G86" s="51">
        <f>G87</f>
        <v>1</v>
      </c>
      <c r="H86" s="51"/>
      <c r="I86" s="51"/>
      <c r="J86" s="51"/>
      <c r="K86" s="70">
        <f>MIN(K87:K91)</f>
        <v>46118</v>
      </c>
      <c r="L86" s="71">
        <f>MAX(L87:L91)</f>
        <v>46142</v>
      </c>
      <c r="M86" s="64"/>
      <c r="N86" s="68">
        <f t="shared" si="5"/>
        <v>25</v>
      </c>
    </row>
    <row r="87" spans="1:70" s="30" customFormat="1" ht="30" customHeight="1" thickBot="1">
      <c r="A87" s="34"/>
      <c r="B87" s="52" t="s">
        <v>182</v>
      </c>
      <c r="C87" s="52"/>
      <c r="D87" s="52"/>
      <c r="E87" s="53">
        <v>0</v>
      </c>
      <c r="F87" s="53">
        <v>0</v>
      </c>
      <c r="G87" s="53">
        <v>1</v>
      </c>
      <c r="H87" s="53"/>
      <c r="I87" s="53"/>
      <c r="J87" s="53"/>
      <c r="K87" s="72">
        <f>K77</f>
        <v>46118</v>
      </c>
      <c r="L87" s="72">
        <v>46142</v>
      </c>
      <c r="M87" s="64"/>
      <c r="N87" s="68">
        <f t="shared" si="5"/>
        <v>25</v>
      </c>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row>
    <row r="88" spans="1:70" s="30" customFormat="1" ht="30" customHeight="1" thickBot="1">
      <c r="A88" s="31"/>
      <c r="B88" s="52"/>
      <c r="C88" s="52"/>
      <c r="D88" s="52"/>
      <c r="E88" s="53">
        <v>0</v>
      </c>
      <c r="F88" s="53">
        <v>0</v>
      </c>
      <c r="G88" s="147" t="s">
        <v>158</v>
      </c>
      <c r="H88" s="53"/>
      <c r="I88" s="53"/>
      <c r="J88" s="53"/>
      <c r="K88" s="72">
        <f>K87</f>
        <v>46118</v>
      </c>
      <c r="L88" s="72"/>
      <c r="M88" s="64"/>
      <c r="N88" s="68" t="str">
        <f t="shared" si="5"/>
        <v/>
      </c>
      <c r="O88" s="84"/>
      <c r="P88" s="84"/>
      <c r="Q88" s="84"/>
      <c r="R88" s="84"/>
      <c r="S88" s="84"/>
      <c r="T88" s="84"/>
      <c r="U88" s="84"/>
      <c r="V88" s="84"/>
      <c r="W88" s="84"/>
      <c r="X88" s="84"/>
      <c r="Y88" s="84"/>
      <c r="Z88" s="84"/>
      <c r="AA88" s="89"/>
      <c r="AB88" s="89"/>
      <c r="AC88" s="84"/>
      <c r="AD88" s="84"/>
      <c r="AE88" s="84"/>
      <c r="AF88" s="84"/>
      <c r="AG88" s="84"/>
      <c r="AH88" s="84"/>
      <c r="AI88" s="84"/>
      <c r="AJ88" s="84"/>
      <c r="AK88" s="84"/>
      <c r="AL88" s="84"/>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84"/>
      <c r="BQ88" s="84"/>
      <c r="BR88" s="84"/>
    </row>
    <row r="89" spans="1:70" s="30" customFormat="1" ht="30" customHeight="1" thickBot="1">
      <c r="A89" s="31"/>
      <c r="B89" s="52"/>
      <c r="C89" s="52"/>
      <c r="D89" s="52"/>
      <c r="E89" s="53">
        <v>0</v>
      </c>
      <c r="F89" s="53">
        <v>0</v>
      </c>
      <c r="G89" s="147" t="s">
        <v>158</v>
      </c>
      <c r="H89" s="53"/>
      <c r="I89" s="53"/>
      <c r="J89" s="53"/>
      <c r="K89" s="72">
        <f>K87</f>
        <v>46118</v>
      </c>
      <c r="L89" s="72"/>
      <c r="M89" s="64"/>
      <c r="N89" s="68" t="str">
        <f t="shared" si="5"/>
        <v/>
      </c>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c r="BN89" s="84"/>
      <c r="BO89" s="84"/>
      <c r="BP89" s="84"/>
      <c r="BQ89" s="84"/>
      <c r="BR89" s="84"/>
    </row>
    <row r="90" spans="1:70" s="30" customFormat="1" ht="30" customHeight="1" thickBot="1">
      <c r="A90" s="31"/>
      <c r="B90" s="52"/>
      <c r="C90" s="52"/>
      <c r="D90" s="52"/>
      <c r="E90" s="53">
        <v>0</v>
      </c>
      <c r="F90" s="53">
        <v>0</v>
      </c>
      <c r="G90" s="147" t="s">
        <v>158</v>
      </c>
      <c r="H90" s="53"/>
      <c r="I90" s="53"/>
      <c r="J90" s="53"/>
      <c r="K90" s="72">
        <f>K77</f>
        <v>46118</v>
      </c>
      <c r="L90" s="72"/>
      <c r="M90" s="64"/>
      <c r="N90" s="68" t="str">
        <f t="shared" si="5"/>
        <v/>
      </c>
      <c r="O90" s="84"/>
      <c r="P90" s="84"/>
      <c r="Q90" s="84"/>
      <c r="R90" s="84"/>
      <c r="S90" s="84"/>
      <c r="T90" s="84"/>
      <c r="U90" s="84"/>
      <c r="V90" s="84"/>
      <c r="W90" s="84"/>
      <c r="X90" s="84"/>
      <c r="Y90" s="84"/>
      <c r="Z90" s="84"/>
      <c r="AA90" s="84"/>
      <c r="AB90" s="84"/>
      <c r="AC90" s="84"/>
      <c r="AD90" s="84"/>
      <c r="AE90" s="89"/>
      <c r="AF90" s="84"/>
      <c r="AG90" s="84"/>
      <c r="AH90" s="84"/>
      <c r="AI90" s="84"/>
      <c r="AJ90" s="84"/>
      <c r="AK90" s="84"/>
      <c r="AL90" s="84"/>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row>
    <row r="91" spans="1:70" s="30" customFormat="1" ht="30" customHeight="1" thickBot="1">
      <c r="A91" s="31"/>
      <c r="B91" s="104"/>
      <c r="C91" s="104"/>
      <c r="D91" s="52"/>
      <c r="E91" s="53">
        <v>0</v>
      </c>
      <c r="F91" s="53">
        <v>0</v>
      </c>
      <c r="G91" s="147" t="s">
        <v>158</v>
      </c>
      <c r="H91" s="53"/>
      <c r="I91" s="53"/>
      <c r="J91" s="53"/>
      <c r="K91" s="72">
        <f>K90</f>
        <v>46118</v>
      </c>
      <c r="L91" s="72"/>
      <c r="M91" s="64"/>
      <c r="N91" s="68" t="str">
        <f t="shared" si="5"/>
        <v/>
      </c>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row>
    <row r="92" spans="1:70" s="30" customFormat="1" ht="30" customHeight="1" thickBot="1">
      <c r="A92" s="31"/>
      <c r="B92" s="105"/>
      <c r="C92" s="105"/>
      <c r="D92" s="52"/>
      <c r="E92" s="53">
        <v>0</v>
      </c>
      <c r="F92" s="53">
        <v>0</v>
      </c>
      <c r="G92" s="147" t="s">
        <v>158</v>
      </c>
      <c r="H92" s="53"/>
      <c r="I92" s="53"/>
      <c r="J92" s="53"/>
      <c r="K92" s="72">
        <f>K90</f>
        <v>46118</v>
      </c>
      <c r="L92" s="72"/>
      <c r="M92" s="64"/>
      <c r="N92" s="68"/>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row>
    <row r="93" spans="1:70" s="30" customFormat="1" ht="30" customHeight="1" thickBot="1">
      <c r="A93" s="31"/>
      <c r="B93" s="54" t="s">
        <v>81</v>
      </c>
      <c r="C93" s="54"/>
      <c r="D93" s="55"/>
      <c r="E93" s="56">
        <f>AVERAGE(E94:E96)</f>
        <v>0</v>
      </c>
      <c r="F93" s="56">
        <f>AVERAGE(F94:F96)</f>
        <v>0</v>
      </c>
      <c r="G93" s="148">
        <f>G94</f>
        <v>0.5</v>
      </c>
      <c r="H93" s="56"/>
      <c r="I93" s="56"/>
      <c r="J93" s="56"/>
      <c r="K93" s="73">
        <f>MIN(K94:K96)</f>
        <v>46118</v>
      </c>
      <c r="L93" s="74">
        <f>MAX(L94:L96)</f>
        <v>46142</v>
      </c>
      <c r="M93" s="64"/>
      <c r="N93" s="68">
        <f t="shared" si="5"/>
        <v>25</v>
      </c>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c r="AR93" s="85"/>
      <c r="AS93" s="85"/>
      <c r="AT93" s="85"/>
      <c r="AU93" s="85"/>
      <c r="AV93" s="85"/>
      <c r="AW93" s="85"/>
      <c r="AX93" s="85"/>
      <c r="AY93" s="85"/>
      <c r="AZ93" s="85"/>
      <c r="BA93" s="85"/>
      <c r="BB93" s="85"/>
      <c r="BC93" s="85"/>
      <c r="BD93" s="85"/>
      <c r="BE93" s="85"/>
      <c r="BF93" s="85"/>
      <c r="BG93" s="85"/>
      <c r="BH93" s="85"/>
      <c r="BI93" s="85"/>
      <c r="BJ93" s="85"/>
      <c r="BK93" s="85"/>
      <c r="BL93" s="85"/>
      <c r="BM93" s="85"/>
      <c r="BN93" s="85"/>
      <c r="BO93" s="85"/>
      <c r="BP93" s="85"/>
      <c r="BQ93" s="85"/>
      <c r="BR93" s="85"/>
    </row>
    <row r="94" spans="1:70" s="30" customFormat="1" ht="30" customHeight="1" thickBot="1">
      <c r="A94" s="31"/>
      <c r="B94" s="92" t="s">
        <v>183</v>
      </c>
      <c r="C94" s="92"/>
      <c r="D94" s="93"/>
      <c r="E94" s="94">
        <v>0</v>
      </c>
      <c r="F94" s="94">
        <v>0</v>
      </c>
      <c r="G94" s="144">
        <v>0.5</v>
      </c>
      <c r="H94" s="94"/>
      <c r="I94" s="94"/>
      <c r="J94" s="94"/>
      <c r="K94" s="101">
        <f>K89</f>
        <v>46118</v>
      </c>
      <c r="L94" s="101">
        <v>46142</v>
      </c>
      <c r="M94" s="64"/>
      <c r="N94" s="68">
        <f t="shared" si="5"/>
        <v>25</v>
      </c>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row>
    <row r="95" spans="1:70" s="30" customFormat="1" ht="30" customHeight="1" thickBot="1">
      <c r="A95" s="31"/>
      <c r="B95" s="93"/>
      <c r="C95" s="93"/>
      <c r="D95" s="93"/>
      <c r="E95" s="94">
        <v>0</v>
      </c>
      <c r="F95" s="94">
        <v>0</v>
      </c>
      <c r="G95" s="144" t="s">
        <v>158</v>
      </c>
      <c r="H95" s="94"/>
      <c r="I95" s="94"/>
      <c r="J95" s="94"/>
      <c r="K95" s="101">
        <f>K94</f>
        <v>46118</v>
      </c>
      <c r="L95" s="101"/>
      <c r="M95" s="64"/>
      <c r="N95" s="68" t="str">
        <f t="shared" si="5"/>
        <v/>
      </c>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c r="BN95" s="84"/>
      <c r="BO95" s="84"/>
      <c r="BP95" s="84"/>
      <c r="BQ95" s="84"/>
      <c r="BR95" s="84"/>
    </row>
    <row r="96" spans="1:70" s="30" customFormat="1" ht="30" customHeight="1" thickBot="1">
      <c r="A96" s="31"/>
      <c r="B96" s="93"/>
      <c r="C96" s="93"/>
      <c r="D96" s="93"/>
      <c r="E96" s="94">
        <v>0</v>
      </c>
      <c r="F96" s="94">
        <v>0</v>
      </c>
      <c r="G96" s="144" t="s">
        <v>158</v>
      </c>
      <c r="H96" s="94"/>
      <c r="I96" s="94"/>
      <c r="J96" s="94"/>
      <c r="K96" s="101">
        <f>K94</f>
        <v>46118</v>
      </c>
      <c r="L96" s="101"/>
      <c r="M96" s="64"/>
      <c r="N96" s="68" t="str">
        <f t="shared" si="5"/>
        <v/>
      </c>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c r="BO96" s="84"/>
      <c r="BP96" s="84"/>
      <c r="BQ96" s="84"/>
      <c r="BR96" s="84"/>
    </row>
    <row r="97" spans="1:70" s="30" customFormat="1" ht="30" customHeight="1" thickBot="1">
      <c r="A97" s="31"/>
      <c r="B97" s="92"/>
      <c r="C97" s="92"/>
      <c r="D97" s="93"/>
      <c r="E97" s="94">
        <v>0</v>
      </c>
      <c r="F97" s="94">
        <v>0</v>
      </c>
      <c r="G97" s="144" t="s">
        <v>158</v>
      </c>
      <c r="H97" s="94"/>
      <c r="I97" s="94"/>
      <c r="J97" s="94"/>
      <c r="K97" s="101">
        <f>K96</f>
        <v>46118</v>
      </c>
      <c r="L97" s="101"/>
      <c r="M97" s="64"/>
      <c r="N97" s="68" t="str">
        <f t="shared" si="5"/>
        <v/>
      </c>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c r="BN97" s="84"/>
      <c r="BO97" s="84"/>
      <c r="BP97" s="84"/>
      <c r="BQ97" s="84"/>
      <c r="BR97" s="84"/>
    </row>
    <row r="98" spans="1:70" s="30" customFormat="1" ht="30" customHeight="1" thickBot="1">
      <c r="A98" s="31"/>
      <c r="B98" s="92"/>
      <c r="C98" s="92"/>
      <c r="D98" s="93"/>
      <c r="E98" s="94">
        <v>0</v>
      </c>
      <c r="F98" s="94">
        <v>0</v>
      </c>
      <c r="G98" s="144" t="s">
        <v>158</v>
      </c>
      <c r="H98" s="94"/>
      <c r="I98" s="94"/>
      <c r="J98" s="94"/>
      <c r="K98" s="101">
        <f>K96</f>
        <v>46118</v>
      </c>
      <c r="L98" s="101"/>
      <c r="M98" s="64"/>
      <c r="N98" s="68" t="str">
        <f t="shared" si="5"/>
        <v/>
      </c>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row>
    <row r="99" spans="1:70" s="30" customFormat="1" ht="30" customHeight="1" thickBot="1">
      <c r="A99" s="31"/>
      <c r="B99" s="95" t="s">
        <v>82</v>
      </c>
      <c r="C99" s="95"/>
      <c r="D99" s="96"/>
      <c r="E99" s="97">
        <f>AVERAGE(E100:E102)</f>
        <v>0</v>
      </c>
      <c r="F99" s="97">
        <f>AVERAGE(F100:F102)</f>
        <v>0</v>
      </c>
      <c r="G99" s="97">
        <f>AVERAGE(G100:G102)</f>
        <v>0.83333333333333337</v>
      </c>
      <c r="H99" s="97"/>
      <c r="I99" s="97"/>
      <c r="J99" s="97"/>
      <c r="K99" s="102">
        <f>MIN(K100:K102)</f>
        <v>46118</v>
      </c>
      <c r="L99" s="103">
        <f>MAX(L100:L102)</f>
        <v>46142</v>
      </c>
      <c r="M99" s="64"/>
      <c r="N99" s="68">
        <f t="shared" si="5"/>
        <v>25</v>
      </c>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c r="AY99" s="86"/>
      <c r="AZ99" s="86"/>
      <c r="BA99" s="86"/>
      <c r="BB99" s="86"/>
      <c r="BC99" s="86"/>
      <c r="BD99" s="86"/>
      <c r="BE99" s="86"/>
      <c r="BF99" s="86"/>
      <c r="BG99" s="86"/>
      <c r="BH99" s="86"/>
      <c r="BI99" s="86"/>
      <c r="BJ99" s="86"/>
      <c r="BK99" s="86"/>
      <c r="BL99" s="86"/>
      <c r="BM99" s="86"/>
      <c r="BN99" s="86"/>
      <c r="BO99" s="86"/>
      <c r="BP99" s="86"/>
      <c r="BQ99" s="86"/>
      <c r="BR99" s="86"/>
    </row>
    <row r="100" spans="1:70" s="30" customFormat="1" ht="30" customHeight="1" thickBot="1">
      <c r="A100" s="31"/>
      <c r="B100" s="107" t="s">
        <v>83</v>
      </c>
      <c r="C100" s="107"/>
      <c r="D100" s="62"/>
      <c r="E100" s="63">
        <v>0</v>
      </c>
      <c r="F100" s="63">
        <v>0</v>
      </c>
      <c r="G100" s="63">
        <v>1</v>
      </c>
      <c r="H100" s="63"/>
      <c r="I100" s="63"/>
      <c r="J100" s="63"/>
      <c r="K100" s="78">
        <f>K96</f>
        <v>46118</v>
      </c>
      <c r="L100" s="78">
        <v>46142</v>
      </c>
      <c r="M100" s="64"/>
      <c r="N100" s="68">
        <f t="shared" si="5"/>
        <v>25</v>
      </c>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c r="AY100" s="84"/>
      <c r="AZ100" s="84"/>
      <c r="BA100" s="84"/>
      <c r="BB100" s="84"/>
      <c r="BC100" s="84"/>
      <c r="BD100" s="84"/>
      <c r="BE100" s="84"/>
      <c r="BF100" s="84"/>
      <c r="BG100" s="84"/>
      <c r="BH100" s="84"/>
      <c r="BI100" s="84"/>
      <c r="BJ100" s="84"/>
      <c r="BK100" s="84"/>
      <c r="BL100" s="84"/>
      <c r="BM100" s="84"/>
      <c r="BN100" s="84"/>
      <c r="BO100" s="84"/>
      <c r="BP100" s="84"/>
      <c r="BQ100" s="84"/>
      <c r="BR100" s="84"/>
    </row>
    <row r="101" spans="1:70" s="30" customFormat="1" ht="30" customHeight="1" thickBot="1">
      <c r="A101" s="31"/>
      <c r="B101" s="107" t="s">
        <v>84</v>
      </c>
      <c r="C101" s="107"/>
      <c r="D101" s="62"/>
      <c r="E101" s="63">
        <v>0</v>
      </c>
      <c r="F101" s="63">
        <v>0</v>
      </c>
      <c r="G101" s="63">
        <v>1</v>
      </c>
      <c r="H101" s="63"/>
      <c r="I101" s="63"/>
      <c r="J101" s="63"/>
      <c r="K101" s="78">
        <f>K95</f>
        <v>46118</v>
      </c>
      <c r="L101" s="78">
        <v>46142</v>
      </c>
      <c r="M101" s="64"/>
      <c r="N101" s="68">
        <f t="shared" si="5"/>
        <v>25</v>
      </c>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c r="AY101" s="84"/>
      <c r="AZ101" s="84"/>
      <c r="BA101" s="84"/>
      <c r="BB101" s="84"/>
      <c r="BC101" s="84"/>
      <c r="BD101" s="84"/>
      <c r="BE101" s="84"/>
      <c r="BF101" s="84"/>
      <c r="BG101" s="84"/>
      <c r="BH101" s="84"/>
      <c r="BI101" s="84"/>
      <c r="BJ101" s="84"/>
      <c r="BK101" s="84"/>
      <c r="BL101" s="84"/>
      <c r="BM101" s="84"/>
      <c r="BN101" s="84"/>
      <c r="BO101" s="84"/>
      <c r="BP101" s="84"/>
      <c r="BQ101" s="84"/>
      <c r="BR101" s="84"/>
    </row>
    <row r="102" spans="1:70" s="30" customFormat="1" ht="30" customHeight="1" thickBot="1">
      <c r="A102" s="31"/>
      <c r="B102" s="107" t="s">
        <v>85</v>
      </c>
      <c r="C102" s="107"/>
      <c r="D102" s="62"/>
      <c r="E102" s="63">
        <v>0</v>
      </c>
      <c r="F102" s="63">
        <v>0</v>
      </c>
      <c r="G102" s="63">
        <v>0.5</v>
      </c>
      <c r="H102" s="145" t="s">
        <v>157</v>
      </c>
      <c r="I102" s="63"/>
      <c r="J102" s="63"/>
      <c r="K102" s="78">
        <f>K95</f>
        <v>46118</v>
      </c>
      <c r="L102" s="78">
        <v>46142</v>
      </c>
      <c r="M102" s="64"/>
      <c r="N102" s="68">
        <f t="shared" si="5"/>
        <v>25</v>
      </c>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4"/>
      <c r="BG102" s="84"/>
      <c r="BH102" s="84"/>
      <c r="BI102" s="84"/>
      <c r="BJ102" s="84"/>
      <c r="BK102" s="84"/>
      <c r="BL102" s="84"/>
      <c r="BM102" s="84"/>
      <c r="BN102" s="84"/>
      <c r="BO102" s="84"/>
      <c r="BP102" s="84"/>
      <c r="BQ102" s="84"/>
      <c r="BR102" s="84"/>
    </row>
    <row r="103" spans="1:70" s="30" customFormat="1" ht="30" customHeight="1" thickBot="1">
      <c r="A103" s="34"/>
      <c r="B103" s="44" t="s">
        <v>86</v>
      </c>
      <c r="C103" s="44"/>
      <c r="D103" s="45"/>
      <c r="E103" s="46">
        <f>AVERAGE(E104:E108)</f>
        <v>0</v>
      </c>
      <c r="F103" s="46">
        <f>AVERAGE(F104:F108)</f>
        <v>0</v>
      </c>
      <c r="G103" s="46">
        <f>AVERAGE(G104:G106)</f>
        <v>0.83333333333333337</v>
      </c>
      <c r="H103" s="46"/>
      <c r="I103" s="46"/>
      <c r="J103" s="46"/>
      <c r="K103" s="66">
        <f>MIN(K104:K108)</f>
        <v>46118</v>
      </c>
      <c r="L103" s="67">
        <f>MAX(L104:L108)</f>
        <v>46142</v>
      </c>
      <c r="M103" s="64"/>
      <c r="N103" s="68">
        <f t="shared" si="5"/>
        <v>25</v>
      </c>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row>
    <row r="104" spans="1:70" s="30" customFormat="1" ht="30" customHeight="1" thickBot="1">
      <c r="A104" s="34"/>
      <c r="B104" s="108" t="s">
        <v>87</v>
      </c>
      <c r="C104" s="108"/>
      <c r="D104" s="47"/>
      <c r="E104" s="48">
        <v>0</v>
      </c>
      <c r="F104" s="48">
        <v>0</v>
      </c>
      <c r="G104" s="48">
        <v>1</v>
      </c>
      <c r="H104" s="48"/>
      <c r="I104" s="48"/>
      <c r="J104" s="48"/>
      <c r="K104" s="69">
        <f>K101</f>
        <v>46118</v>
      </c>
      <c r="L104" s="69">
        <v>46142</v>
      </c>
      <c r="M104" s="64"/>
      <c r="N104" s="68">
        <f t="shared" si="5"/>
        <v>25</v>
      </c>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4"/>
      <c r="BG104" s="84"/>
      <c r="BH104" s="84"/>
      <c r="BI104" s="84"/>
      <c r="BJ104" s="84"/>
      <c r="BK104" s="84"/>
      <c r="BL104" s="84"/>
      <c r="BM104" s="84"/>
      <c r="BN104" s="84"/>
      <c r="BO104" s="84"/>
      <c r="BP104" s="84"/>
      <c r="BQ104" s="84"/>
      <c r="BR104" s="84"/>
    </row>
    <row r="105" spans="1:70" s="30" customFormat="1" ht="30" customHeight="1" thickBot="1">
      <c r="A105" s="34"/>
      <c r="B105" s="109" t="s">
        <v>88</v>
      </c>
      <c r="C105" s="109"/>
      <c r="D105" s="47"/>
      <c r="E105" s="48">
        <v>0</v>
      </c>
      <c r="F105" s="48">
        <v>0</v>
      </c>
      <c r="G105" s="48">
        <v>1</v>
      </c>
      <c r="H105" s="48"/>
      <c r="I105" s="48"/>
      <c r="J105" s="48"/>
      <c r="K105" s="69">
        <f>K104</f>
        <v>46118</v>
      </c>
      <c r="L105" s="69">
        <v>46142</v>
      </c>
      <c r="M105" s="64"/>
      <c r="N105" s="68">
        <f t="shared" si="5"/>
        <v>25</v>
      </c>
      <c r="O105" s="84"/>
      <c r="P105" s="84"/>
      <c r="Q105" s="84"/>
      <c r="R105" s="84"/>
      <c r="S105" s="84"/>
      <c r="T105" s="84"/>
      <c r="U105" s="84"/>
      <c r="V105" s="84"/>
      <c r="W105" s="84"/>
      <c r="X105" s="84"/>
      <c r="Y105" s="84"/>
      <c r="Z105" s="84"/>
      <c r="AA105" s="89"/>
      <c r="AB105" s="89"/>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c r="AY105" s="84"/>
      <c r="AZ105" s="84"/>
      <c r="BA105" s="84"/>
      <c r="BB105" s="84"/>
      <c r="BC105" s="84"/>
      <c r="BD105" s="84"/>
      <c r="BE105" s="84"/>
      <c r="BF105" s="84"/>
      <c r="BG105" s="84"/>
      <c r="BH105" s="84"/>
      <c r="BI105" s="84"/>
      <c r="BJ105" s="84"/>
      <c r="BK105" s="84"/>
      <c r="BL105" s="84"/>
      <c r="BM105" s="84"/>
      <c r="BN105" s="84"/>
      <c r="BO105" s="84"/>
      <c r="BP105" s="84"/>
      <c r="BQ105" s="84"/>
      <c r="BR105" s="84"/>
    </row>
    <row r="106" spans="1:70" s="30" customFormat="1" ht="30" customHeight="1" thickBot="1">
      <c r="A106" s="31"/>
      <c r="B106" s="109" t="s">
        <v>85</v>
      </c>
      <c r="C106" s="109"/>
      <c r="D106" s="47"/>
      <c r="E106" s="48">
        <v>0</v>
      </c>
      <c r="F106" s="48">
        <v>0</v>
      </c>
      <c r="G106" s="48">
        <v>0.5</v>
      </c>
      <c r="H106" s="146" t="s">
        <v>157</v>
      </c>
      <c r="I106" s="48"/>
      <c r="J106" s="48"/>
      <c r="K106" s="69">
        <f>K104</f>
        <v>46118</v>
      </c>
      <c r="L106" s="69">
        <v>46142</v>
      </c>
      <c r="M106" s="64"/>
      <c r="N106" s="68">
        <f t="shared" si="5"/>
        <v>25</v>
      </c>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4"/>
      <c r="BG106" s="84"/>
      <c r="BH106" s="84"/>
      <c r="BI106" s="84"/>
      <c r="BJ106" s="84"/>
      <c r="BK106" s="84"/>
      <c r="BL106" s="84"/>
      <c r="BM106" s="84"/>
      <c r="BN106" s="84"/>
      <c r="BO106" s="84"/>
      <c r="BP106" s="84"/>
      <c r="BQ106" s="84"/>
      <c r="BR106" s="84"/>
    </row>
    <row r="107" spans="1:70" s="30" customFormat="1" ht="30" customHeight="1" thickBot="1">
      <c r="A107" s="31"/>
      <c r="B107" s="98"/>
      <c r="C107" s="98"/>
      <c r="D107" s="47"/>
      <c r="E107" s="48">
        <v>0</v>
      </c>
      <c r="F107" s="48">
        <v>0</v>
      </c>
      <c r="G107" s="146" t="s">
        <v>158</v>
      </c>
      <c r="H107" s="48"/>
      <c r="I107" s="48"/>
      <c r="J107" s="48"/>
      <c r="K107" s="69">
        <f>K104</f>
        <v>46118</v>
      </c>
      <c r="L107" s="69"/>
      <c r="M107" s="64"/>
      <c r="N107" s="68" t="str">
        <f t="shared" si="5"/>
        <v/>
      </c>
      <c r="O107" s="84"/>
      <c r="P107" s="84"/>
      <c r="Q107" s="84"/>
      <c r="R107" s="84"/>
      <c r="S107" s="84"/>
      <c r="T107" s="84"/>
      <c r="U107" s="84"/>
      <c r="V107" s="84"/>
      <c r="W107" s="84"/>
      <c r="X107" s="84"/>
      <c r="Y107" s="84"/>
      <c r="Z107" s="84"/>
      <c r="AA107" s="84"/>
      <c r="AB107" s="84"/>
      <c r="AC107" s="84"/>
      <c r="AD107" s="84"/>
      <c r="AE107" s="89"/>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c r="BO107" s="84"/>
      <c r="BP107" s="84"/>
      <c r="BQ107" s="84"/>
      <c r="BR107" s="84"/>
    </row>
    <row r="108" spans="1:70" s="30" customFormat="1" ht="30" customHeight="1" thickBot="1">
      <c r="A108" s="31"/>
      <c r="B108" s="98"/>
      <c r="C108" s="98"/>
      <c r="D108" s="47"/>
      <c r="E108" s="48">
        <v>0</v>
      </c>
      <c r="F108" s="48">
        <v>0</v>
      </c>
      <c r="G108" s="146" t="s">
        <v>158</v>
      </c>
      <c r="H108" s="48"/>
      <c r="I108" s="48"/>
      <c r="J108" s="48"/>
      <c r="K108" s="69">
        <f>K104</f>
        <v>46118</v>
      </c>
      <c r="L108" s="69"/>
      <c r="M108" s="64"/>
      <c r="N108" s="68" t="str">
        <f t="shared" si="5"/>
        <v/>
      </c>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c r="AY108" s="84"/>
      <c r="AZ108" s="84"/>
      <c r="BA108" s="84"/>
      <c r="BB108" s="84"/>
      <c r="BC108" s="84"/>
      <c r="BD108" s="84"/>
      <c r="BE108" s="84"/>
      <c r="BF108" s="84"/>
      <c r="BG108" s="84"/>
      <c r="BH108" s="84"/>
      <c r="BI108" s="84"/>
      <c r="BJ108" s="84"/>
      <c r="BK108" s="84"/>
      <c r="BL108" s="84"/>
      <c r="BM108" s="84"/>
      <c r="BN108" s="84"/>
      <c r="BO108" s="84"/>
      <c r="BP108" s="84"/>
      <c r="BQ108" s="84"/>
      <c r="BR108" s="84"/>
    </row>
    <row r="109" spans="1:70" s="30" customFormat="1" ht="30" customHeight="1" thickBot="1">
      <c r="A109" s="34"/>
      <c r="B109" s="49" t="s">
        <v>89</v>
      </c>
      <c r="C109" s="49" t="s">
        <v>135</v>
      </c>
      <c r="D109" s="50"/>
      <c r="E109" s="51">
        <f>AVERAGE(E110:E114)</f>
        <v>0</v>
      </c>
      <c r="F109" s="51">
        <f>AVERAGE(F110:F114)</f>
        <v>0</v>
      </c>
      <c r="G109" s="51">
        <f>G110</f>
        <v>0.5</v>
      </c>
      <c r="H109" s="51"/>
      <c r="I109" s="51"/>
      <c r="J109" s="51"/>
      <c r="K109" s="70">
        <f>MIN(K110:K114)</f>
        <v>46142</v>
      </c>
      <c r="L109" s="71">
        <f>MAX(L110:L114)</f>
        <v>46171</v>
      </c>
      <c r="M109" s="64"/>
      <c r="N109" s="68">
        <f t="shared" si="5"/>
        <v>30</v>
      </c>
    </row>
    <row r="110" spans="1:70" s="30" customFormat="1" ht="30" customHeight="1" thickBot="1">
      <c r="A110" s="34"/>
      <c r="B110" s="52" t="s">
        <v>184</v>
      </c>
      <c r="C110" s="52"/>
      <c r="D110" s="52"/>
      <c r="E110" s="53">
        <v>0</v>
      </c>
      <c r="F110" s="53">
        <v>0</v>
      </c>
      <c r="G110" s="147">
        <v>0.5</v>
      </c>
      <c r="H110" s="147" t="s">
        <v>159</v>
      </c>
      <c r="I110" s="53"/>
      <c r="J110" s="53"/>
      <c r="K110" s="72">
        <f>K72</f>
        <v>46142</v>
      </c>
      <c r="L110" s="72">
        <v>46171</v>
      </c>
      <c r="M110" s="64"/>
      <c r="N110" s="68">
        <f t="shared" si="5"/>
        <v>30</v>
      </c>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84"/>
      <c r="AW110" s="84"/>
      <c r="AX110" s="84"/>
      <c r="AY110" s="84"/>
      <c r="AZ110" s="84"/>
      <c r="BA110" s="84"/>
      <c r="BB110" s="84"/>
      <c r="BC110" s="84"/>
      <c r="BD110" s="84"/>
      <c r="BE110" s="84"/>
      <c r="BF110" s="84"/>
      <c r="BG110" s="84"/>
      <c r="BH110" s="84"/>
      <c r="BI110" s="84"/>
      <c r="BJ110" s="84"/>
      <c r="BK110" s="84"/>
      <c r="BL110" s="84"/>
      <c r="BM110" s="84"/>
      <c r="BN110" s="84"/>
      <c r="BO110" s="84"/>
      <c r="BP110" s="84"/>
      <c r="BQ110" s="84"/>
      <c r="BR110" s="84"/>
    </row>
    <row r="111" spans="1:70" s="30" customFormat="1" ht="30" customHeight="1" thickBot="1">
      <c r="A111" s="31"/>
      <c r="B111" s="110"/>
      <c r="C111" s="110"/>
      <c r="D111" s="110"/>
      <c r="E111" s="53"/>
      <c r="F111" s="53"/>
      <c r="G111" s="53"/>
      <c r="H111" s="53"/>
      <c r="I111" s="53"/>
      <c r="J111" s="53"/>
      <c r="K111" s="72"/>
      <c r="L111" s="72"/>
      <c r="M111" s="64"/>
      <c r="N111" s="68" t="str">
        <f t="shared" si="5"/>
        <v/>
      </c>
      <c r="O111" s="84"/>
      <c r="P111" s="84"/>
      <c r="Q111" s="84"/>
      <c r="R111" s="84"/>
      <c r="S111" s="84"/>
      <c r="T111" s="84"/>
      <c r="U111" s="84"/>
      <c r="V111" s="84"/>
      <c r="W111" s="84"/>
      <c r="X111" s="84"/>
      <c r="Y111" s="84"/>
      <c r="Z111" s="84"/>
      <c r="AA111" s="89"/>
      <c r="AB111" s="89"/>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c r="AY111" s="84"/>
      <c r="AZ111" s="84"/>
      <c r="BA111" s="84"/>
      <c r="BB111" s="84"/>
      <c r="BC111" s="84"/>
      <c r="BD111" s="84"/>
      <c r="BE111" s="84"/>
      <c r="BF111" s="84"/>
      <c r="BG111" s="84"/>
      <c r="BH111" s="84"/>
      <c r="BI111" s="84"/>
      <c r="BJ111" s="84"/>
      <c r="BK111" s="84"/>
      <c r="BL111" s="84"/>
      <c r="BM111" s="84"/>
      <c r="BN111" s="84"/>
      <c r="BO111" s="84"/>
      <c r="BP111" s="84"/>
      <c r="BQ111" s="84"/>
      <c r="BR111" s="84"/>
    </row>
    <row r="112" spans="1:70" s="30" customFormat="1" ht="30" customHeight="1" thickBot="1">
      <c r="A112" s="31"/>
      <c r="B112" s="110"/>
      <c r="C112" s="110"/>
      <c r="D112" s="110"/>
      <c r="E112" s="53"/>
      <c r="F112" s="53"/>
      <c r="G112" s="53"/>
      <c r="H112" s="53"/>
      <c r="I112" s="53"/>
      <c r="J112" s="53"/>
      <c r="K112" s="72"/>
      <c r="L112" s="72"/>
      <c r="M112" s="64"/>
      <c r="N112" s="68" t="str">
        <f t="shared" si="5"/>
        <v/>
      </c>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c r="AY112" s="84"/>
      <c r="AZ112" s="84"/>
      <c r="BA112" s="84"/>
      <c r="BB112" s="84"/>
      <c r="BC112" s="84"/>
      <c r="BD112" s="84"/>
      <c r="BE112" s="84"/>
      <c r="BF112" s="84"/>
      <c r="BG112" s="84"/>
      <c r="BH112" s="84"/>
      <c r="BI112" s="84"/>
      <c r="BJ112" s="84"/>
      <c r="BK112" s="84"/>
      <c r="BL112" s="84"/>
      <c r="BM112" s="84"/>
      <c r="BN112" s="84"/>
      <c r="BO112" s="84"/>
      <c r="BP112" s="84"/>
      <c r="BQ112" s="84"/>
      <c r="BR112" s="84"/>
    </row>
    <row r="113" spans="1:70" s="30" customFormat="1" ht="30" customHeight="1" thickBot="1">
      <c r="A113" s="31"/>
      <c r="B113" s="110"/>
      <c r="C113" s="110"/>
      <c r="D113" s="110"/>
      <c r="E113" s="53"/>
      <c r="F113" s="53"/>
      <c r="G113" s="53"/>
      <c r="H113" s="53"/>
      <c r="I113" s="53"/>
      <c r="J113" s="53"/>
      <c r="K113" s="72"/>
      <c r="L113" s="72"/>
      <c r="M113" s="64"/>
      <c r="N113" s="68" t="str">
        <f t="shared" si="5"/>
        <v/>
      </c>
      <c r="O113" s="84"/>
      <c r="P113" s="84"/>
      <c r="Q113" s="84"/>
      <c r="R113" s="84"/>
      <c r="S113" s="84"/>
      <c r="T113" s="84"/>
      <c r="U113" s="84"/>
      <c r="V113" s="84"/>
      <c r="W113" s="84"/>
      <c r="X113" s="84"/>
      <c r="Y113" s="84"/>
      <c r="Z113" s="84"/>
      <c r="AA113" s="84"/>
      <c r="AB113" s="84"/>
      <c r="AC113" s="84"/>
      <c r="AD113" s="84"/>
      <c r="AE113" s="89"/>
      <c r="AF113" s="84"/>
      <c r="AG113" s="84"/>
      <c r="AH113" s="84"/>
      <c r="AI113" s="84"/>
      <c r="AJ113" s="84"/>
      <c r="AK113" s="84"/>
      <c r="AL113" s="84"/>
      <c r="AM113" s="84"/>
      <c r="AN113" s="84"/>
      <c r="AO113" s="84"/>
      <c r="AP113" s="84"/>
      <c r="AQ113" s="84"/>
      <c r="AR113" s="84"/>
      <c r="AS113" s="84"/>
      <c r="AT113" s="84"/>
      <c r="AU113" s="84"/>
      <c r="AV113" s="84"/>
      <c r="AW113" s="84"/>
      <c r="AX113" s="84"/>
      <c r="AY113" s="84"/>
      <c r="AZ113" s="84"/>
      <c r="BA113" s="84"/>
      <c r="BB113" s="84"/>
      <c r="BC113" s="84"/>
      <c r="BD113" s="84"/>
      <c r="BE113" s="84"/>
      <c r="BF113" s="84"/>
      <c r="BG113" s="84"/>
      <c r="BH113" s="84"/>
      <c r="BI113" s="84"/>
      <c r="BJ113" s="84"/>
      <c r="BK113" s="84"/>
      <c r="BL113" s="84"/>
      <c r="BM113" s="84"/>
      <c r="BN113" s="84"/>
      <c r="BO113" s="84"/>
      <c r="BP113" s="84"/>
      <c r="BQ113" s="84"/>
      <c r="BR113" s="84"/>
    </row>
    <row r="114" spans="1:70" s="30" customFormat="1" ht="30" customHeight="1" thickBot="1">
      <c r="A114" s="31"/>
      <c r="B114" s="111"/>
      <c r="C114" s="111"/>
      <c r="D114" s="110"/>
      <c r="E114" s="53"/>
      <c r="F114" s="53"/>
      <c r="G114" s="53"/>
      <c r="H114" s="53"/>
      <c r="I114" s="53"/>
      <c r="J114" s="53"/>
      <c r="K114" s="72"/>
      <c r="L114" s="72"/>
      <c r="M114" s="64"/>
      <c r="N114" s="68" t="str">
        <f t="shared" si="5"/>
        <v/>
      </c>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84"/>
      <c r="AW114" s="84"/>
      <c r="AX114" s="84"/>
      <c r="AY114" s="84"/>
      <c r="AZ114" s="84"/>
      <c r="BA114" s="84"/>
      <c r="BB114" s="84"/>
      <c r="BC114" s="84"/>
      <c r="BD114" s="84"/>
      <c r="BE114" s="84"/>
      <c r="BF114" s="84"/>
      <c r="BG114" s="84"/>
      <c r="BH114" s="84"/>
      <c r="BI114" s="84"/>
      <c r="BJ114" s="84"/>
      <c r="BK114" s="84"/>
      <c r="BL114" s="84"/>
      <c r="BM114" s="84"/>
      <c r="BN114" s="84"/>
      <c r="BO114" s="84"/>
      <c r="BP114" s="84"/>
      <c r="BQ114" s="84"/>
      <c r="BR114" s="84"/>
    </row>
    <row r="115" spans="1:70" s="30" customFormat="1" ht="30" customHeight="1" thickBot="1">
      <c r="A115" s="31"/>
      <c r="B115" s="112"/>
      <c r="C115" s="112"/>
      <c r="D115" s="110"/>
      <c r="E115" s="53"/>
      <c r="F115" s="53"/>
      <c r="G115" s="53"/>
      <c r="H115" s="53"/>
      <c r="I115" s="53"/>
      <c r="J115" s="53"/>
      <c r="K115" s="72"/>
      <c r="L115" s="72"/>
      <c r="M115" s="64"/>
      <c r="N115" s="68"/>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row>
    <row r="116" spans="1:70" s="30" customFormat="1" ht="30" customHeight="1" thickBot="1">
      <c r="A116" s="34"/>
      <c r="B116" s="113" t="s">
        <v>90</v>
      </c>
      <c r="C116" s="113" t="s">
        <v>172</v>
      </c>
      <c r="D116" s="114"/>
      <c r="E116" s="115">
        <f>AVERAGE(E117:E120)</f>
        <v>0</v>
      </c>
      <c r="F116" s="115">
        <f>AVERAGE(F117:F120)</f>
        <v>0.41666666666666669</v>
      </c>
      <c r="G116" s="115">
        <f>AVERAGE(G117:G120)</f>
        <v>0.8</v>
      </c>
      <c r="H116" s="115"/>
      <c r="I116" s="115"/>
      <c r="J116" s="115"/>
      <c r="K116" s="129">
        <f>MIN(K117:K127)</f>
        <v>46013</v>
      </c>
      <c r="L116" s="130">
        <f>MAX(L117:L127)</f>
        <v>46203</v>
      </c>
      <c r="M116" s="64"/>
      <c r="N116" s="68">
        <f t="shared" si="5"/>
        <v>191</v>
      </c>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row>
    <row r="117" spans="1:70" s="30" customFormat="1" ht="30" customHeight="1" thickBot="1">
      <c r="A117" s="34"/>
      <c r="B117" s="116" t="s">
        <v>91</v>
      </c>
      <c r="C117" s="153" t="s">
        <v>173</v>
      </c>
      <c r="D117" s="116"/>
      <c r="E117" s="117">
        <v>0</v>
      </c>
      <c r="F117" s="117">
        <v>0</v>
      </c>
      <c r="G117" s="117"/>
      <c r="H117" s="117"/>
      <c r="I117" s="117"/>
      <c r="J117" s="117"/>
      <c r="K117" s="131">
        <f>K110</f>
        <v>46142</v>
      </c>
      <c r="L117" s="131">
        <v>46170</v>
      </c>
      <c r="M117" s="64"/>
      <c r="N117" s="68">
        <f t="shared" si="5"/>
        <v>29</v>
      </c>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c r="AS117" s="84"/>
      <c r="AT117" s="84"/>
      <c r="AU117" s="84"/>
      <c r="AV117" s="84"/>
      <c r="AW117" s="84"/>
      <c r="AX117" s="84"/>
      <c r="AY117" s="84"/>
      <c r="AZ117" s="84"/>
      <c r="BA117" s="84"/>
      <c r="BB117" s="84"/>
      <c r="BC117" s="84"/>
      <c r="BD117" s="84"/>
      <c r="BE117" s="84"/>
      <c r="BF117" s="84"/>
      <c r="BG117" s="84"/>
      <c r="BH117" s="84"/>
      <c r="BI117" s="84"/>
      <c r="BJ117" s="84"/>
      <c r="BK117" s="84"/>
      <c r="BL117" s="84"/>
      <c r="BM117" s="84"/>
      <c r="BN117" s="84"/>
      <c r="BO117" s="84"/>
      <c r="BP117" s="84"/>
      <c r="BQ117" s="84"/>
      <c r="BR117" s="84"/>
    </row>
    <row r="118" spans="1:70" s="30" customFormat="1" ht="30" customHeight="1" thickBot="1">
      <c r="A118" s="34"/>
      <c r="B118" s="118" t="s">
        <v>92</v>
      </c>
      <c r="C118" s="118"/>
      <c r="D118" s="116"/>
      <c r="E118" s="117">
        <v>0</v>
      </c>
      <c r="F118" s="117">
        <v>0.25</v>
      </c>
      <c r="G118" s="117">
        <v>0.6</v>
      </c>
      <c r="H118" s="117" t="s">
        <v>143</v>
      </c>
      <c r="I118" s="117" t="s">
        <v>155</v>
      </c>
      <c r="J118" s="117" t="s">
        <v>156</v>
      </c>
      <c r="K118" s="131">
        <v>46136</v>
      </c>
      <c r="L118" s="131">
        <v>46170</v>
      </c>
      <c r="M118" s="64"/>
      <c r="N118" s="68">
        <f t="shared" si="5"/>
        <v>35</v>
      </c>
      <c r="O118" s="84"/>
      <c r="P118" s="84"/>
      <c r="Q118" s="84"/>
      <c r="R118" s="84"/>
      <c r="S118" s="84"/>
      <c r="T118" s="84"/>
      <c r="U118" s="84"/>
      <c r="V118" s="84"/>
      <c r="W118" s="84"/>
      <c r="X118" s="84"/>
      <c r="Y118" s="84"/>
      <c r="Z118" s="84"/>
      <c r="AA118" s="89"/>
      <c r="AB118" s="89"/>
      <c r="AC118" s="84"/>
      <c r="AD118" s="84"/>
      <c r="AE118" s="84"/>
      <c r="AF118" s="84"/>
      <c r="AG118" s="84"/>
      <c r="AH118" s="84"/>
      <c r="AI118" s="84"/>
      <c r="AJ118" s="84"/>
      <c r="AK118" s="84"/>
      <c r="AL118" s="84"/>
      <c r="AM118" s="84"/>
      <c r="AN118" s="84"/>
      <c r="AO118" s="84"/>
      <c r="AP118" s="84"/>
      <c r="AQ118" s="84"/>
      <c r="AR118" s="84"/>
      <c r="AS118" s="84"/>
      <c r="AT118" s="84"/>
      <c r="AU118" s="84"/>
      <c r="AV118" s="84"/>
      <c r="AW118" s="84"/>
      <c r="AX118" s="84"/>
      <c r="AY118" s="84"/>
      <c r="AZ118" s="84"/>
      <c r="BA118" s="84"/>
      <c r="BB118" s="84"/>
      <c r="BC118" s="84"/>
      <c r="BD118" s="84"/>
      <c r="BE118" s="84"/>
      <c r="BF118" s="84"/>
      <c r="BG118" s="84"/>
      <c r="BH118" s="84"/>
      <c r="BI118" s="84"/>
      <c r="BJ118" s="84"/>
      <c r="BK118" s="84"/>
      <c r="BL118" s="84"/>
      <c r="BM118" s="84"/>
      <c r="BN118" s="84"/>
      <c r="BO118" s="84"/>
      <c r="BP118" s="84"/>
      <c r="BQ118" s="84"/>
      <c r="BR118" s="84"/>
    </row>
    <row r="119" spans="1:70" s="30" customFormat="1" ht="30" customHeight="1" thickBot="1">
      <c r="A119" s="31"/>
      <c r="B119" s="119" t="s">
        <v>93</v>
      </c>
      <c r="C119" s="119"/>
      <c r="D119" s="116"/>
      <c r="E119" s="117">
        <v>0</v>
      </c>
      <c r="F119" s="117">
        <v>1</v>
      </c>
      <c r="G119" s="117">
        <v>1</v>
      </c>
      <c r="H119" s="117" t="s">
        <v>142</v>
      </c>
      <c r="I119" s="117" t="s">
        <v>136</v>
      </c>
      <c r="J119" s="117" t="s">
        <v>140</v>
      </c>
      <c r="K119" s="131">
        <v>46013</v>
      </c>
      <c r="L119" s="131">
        <v>46080</v>
      </c>
      <c r="M119" s="64"/>
      <c r="N119" s="68">
        <f t="shared" si="5"/>
        <v>68</v>
      </c>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c r="AL119" s="84"/>
      <c r="AM119" s="84"/>
      <c r="AN119" s="84"/>
      <c r="AO119" s="84"/>
      <c r="AP119" s="84"/>
      <c r="AQ119" s="84"/>
      <c r="AR119" s="84"/>
      <c r="AS119" s="84"/>
      <c r="AT119" s="84"/>
      <c r="AU119" s="84"/>
      <c r="AV119" s="84"/>
      <c r="AW119" s="84"/>
      <c r="AX119" s="84"/>
      <c r="AY119" s="84"/>
      <c r="AZ119" s="84"/>
      <c r="BA119" s="84"/>
      <c r="BB119" s="84"/>
      <c r="BC119" s="84"/>
      <c r="BD119" s="84"/>
      <c r="BE119" s="84"/>
      <c r="BF119" s="84"/>
      <c r="BG119" s="84"/>
      <c r="BH119" s="84"/>
      <c r="BI119" s="84"/>
      <c r="BJ119" s="84"/>
      <c r="BK119" s="84"/>
      <c r="BL119" s="84"/>
      <c r="BM119" s="84"/>
      <c r="BN119" s="84"/>
      <c r="BO119" s="84"/>
      <c r="BP119" s="84"/>
      <c r="BQ119" s="84"/>
      <c r="BR119" s="84"/>
    </row>
    <row r="120" spans="1:70" s="30" customFormat="1" ht="30" customHeight="1" thickBot="1">
      <c r="A120" s="31"/>
      <c r="B120" s="120"/>
      <c r="C120" s="120"/>
      <c r="D120" s="116"/>
      <c r="E120" s="117"/>
      <c r="F120" s="117"/>
      <c r="G120" s="117"/>
      <c r="H120" s="117"/>
      <c r="I120" s="117"/>
      <c r="J120" s="117"/>
      <c r="K120" s="131"/>
      <c r="L120" s="131"/>
      <c r="M120" s="64"/>
      <c r="N120" s="68" t="str">
        <f t="shared" si="5"/>
        <v/>
      </c>
      <c r="O120" s="84"/>
      <c r="P120" s="84"/>
      <c r="Q120" s="84"/>
      <c r="R120" s="84"/>
      <c r="S120" s="84"/>
      <c r="T120" s="84"/>
      <c r="U120" s="84"/>
      <c r="V120" s="84"/>
      <c r="W120" s="84"/>
      <c r="X120" s="84"/>
      <c r="Y120" s="84"/>
      <c r="Z120" s="84"/>
      <c r="AA120" s="84"/>
      <c r="AB120" s="84"/>
      <c r="AC120" s="84"/>
      <c r="AD120" s="84"/>
      <c r="AE120" s="89"/>
      <c r="AF120" s="84"/>
      <c r="AG120" s="84"/>
      <c r="AH120" s="84"/>
      <c r="AI120" s="84"/>
      <c r="AJ120" s="84"/>
      <c r="AK120" s="84"/>
      <c r="AL120" s="84"/>
      <c r="AM120" s="84"/>
      <c r="AN120" s="84"/>
      <c r="AO120" s="84"/>
      <c r="AP120" s="84"/>
      <c r="AQ120" s="84"/>
      <c r="AR120" s="84"/>
      <c r="AS120" s="84"/>
      <c r="AT120" s="84"/>
      <c r="AU120" s="84"/>
      <c r="AV120" s="84"/>
      <c r="AW120" s="84"/>
      <c r="AX120" s="84"/>
      <c r="AY120" s="84"/>
      <c r="AZ120" s="84"/>
      <c r="BA120" s="84"/>
      <c r="BB120" s="84"/>
      <c r="BC120" s="84"/>
      <c r="BD120" s="84"/>
      <c r="BE120" s="84"/>
      <c r="BF120" s="84"/>
      <c r="BG120" s="84"/>
      <c r="BH120" s="84"/>
      <c r="BI120" s="84"/>
      <c r="BJ120" s="84"/>
      <c r="BK120" s="84"/>
      <c r="BL120" s="84"/>
      <c r="BM120" s="84"/>
      <c r="BN120" s="84"/>
      <c r="BO120" s="84"/>
      <c r="BP120" s="84"/>
      <c r="BQ120" s="84"/>
      <c r="BR120" s="84"/>
    </row>
    <row r="121" spans="1:70" s="30" customFormat="1" ht="30" customHeight="1" thickBot="1">
      <c r="A121" s="34"/>
      <c r="B121" s="49" t="s">
        <v>175</v>
      </c>
      <c r="C121" s="49" t="s">
        <v>173</v>
      </c>
      <c r="D121" s="50"/>
      <c r="E121" s="51">
        <f>AVERAGE(E122:E126)</f>
        <v>0.1</v>
      </c>
      <c r="F121" s="51">
        <f>AVERAGE(F122:F126)</f>
        <v>0.1</v>
      </c>
      <c r="G121" s="51">
        <f>AVERAGE(G122:G126)</f>
        <v>0.1</v>
      </c>
      <c r="H121" s="51"/>
      <c r="I121" s="51"/>
      <c r="J121" s="51"/>
      <c r="K121" s="70">
        <f>MIN(K122:K126)</f>
        <v>46188</v>
      </c>
      <c r="L121" s="71">
        <f>MAX(L122:L126)</f>
        <v>46203</v>
      </c>
      <c r="M121" s="64"/>
      <c r="N121" s="68">
        <f t="shared" si="5"/>
        <v>16</v>
      </c>
    </row>
    <row r="122" spans="1:70" s="30" customFormat="1" ht="30" customHeight="1" thickBot="1">
      <c r="A122" s="34"/>
      <c r="B122" s="52" t="s">
        <v>176</v>
      </c>
      <c r="C122" s="52"/>
      <c r="D122" s="52"/>
      <c r="E122" s="53">
        <v>0.1</v>
      </c>
      <c r="F122" s="53">
        <v>0.1</v>
      </c>
      <c r="G122" s="147">
        <v>0.1</v>
      </c>
      <c r="H122" s="147"/>
      <c r="I122" s="53"/>
      <c r="J122" s="53"/>
      <c r="K122" s="72">
        <v>46188</v>
      </c>
      <c r="L122" s="72">
        <v>46203</v>
      </c>
      <c r="M122" s="64"/>
      <c r="N122" s="68">
        <f t="shared" si="5"/>
        <v>16</v>
      </c>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4"/>
      <c r="AM122" s="84"/>
      <c r="AN122" s="84"/>
      <c r="AO122" s="84"/>
      <c r="AP122" s="84"/>
      <c r="AQ122" s="84"/>
      <c r="AR122" s="84"/>
      <c r="AS122" s="84"/>
      <c r="AT122" s="84"/>
      <c r="AU122" s="84"/>
      <c r="AV122" s="84"/>
      <c r="AW122" s="84"/>
      <c r="AX122" s="84"/>
      <c r="AY122" s="84"/>
      <c r="AZ122" s="84"/>
      <c r="BA122" s="84"/>
      <c r="BB122" s="84"/>
      <c r="BC122" s="84"/>
      <c r="BD122" s="84"/>
      <c r="BE122" s="84"/>
      <c r="BF122" s="84"/>
      <c r="BG122" s="84"/>
      <c r="BH122" s="84"/>
      <c r="BI122" s="84"/>
      <c r="BJ122" s="84"/>
      <c r="BK122" s="84"/>
      <c r="BL122" s="84"/>
      <c r="BM122" s="84"/>
      <c r="BN122" s="84"/>
      <c r="BO122" s="84"/>
      <c r="BP122" s="84"/>
      <c r="BQ122" s="84"/>
      <c r="BR122" s="84"/>
    </row>
    <row r="123" spans="1:70" s="30" customFormat="1" ht="30" customHeight="1" thickBot="1">
      <c r="A123" s="31"/>
      <c r="B123" s="110" t="s">
        <v>177</v>
      </c>
      <c r="C123" s="110"/>
      <c r="D123" s="110"/>
      <c r="E123" s="53">
        <v>0.1</v>
      </c>
      <c r="F123" s="53">
        <v>0.1</v>
      </c>
      <c r="G123" s="53">
        <v>0.1</v>
      </c>
      <c r="H123" s="53"/>
      <c r="I123" s="53"/>
      <c r="J123" s="53"/>
      <c r="K123" s="72">
        <v>46188</v>
      </c>
      <c r="L123" s="72">
        <v>46203</v>
      </c>
      <c r="M123" s="64"/>
      <c r="N123" s="68">
        <f t="shared" si="5"/>
        <v>16</v>
      </c>
      <c r="O123" s="84"/>
      <c r="P123" s="84"/>
      <c r="Q123" s="84"/>
      <c r="R123" s="84"/>
      <c r="S123" s="84"/>
      <c r="T123" s="84"/>
      <c r="U123" s="84"/>
      <c r="V123" s="84"/>
      <c r="W123" s="84"/>
      <c r="X123" s="84"/>
      <c r="Y123" s="84"/>
      <c r="Z123" s="84"/>
      <c r="AA123" s="89"/>
      <c r="AB123" s="89"/>
      <c r="AC123" s="84"/>
      <c r="AD123" s="84"/>
      <c r="AE123" s="84"/>
      <c r="AF123" s="84"/>
      <c r="AG123" s="84"/>
      <c r="AH123" s="84"/>
      <c r="AI123" s="84"/>
      <c r="AJ123" s="84"/>
      <c r="AK123" s="84"/>
      <c r="AL123" s="84"/>
      <c r="AM123" s="84"/>
      <c r="AN123" s="84"/>
      <c r="AO123" s="84"/>
      <c r="AP123" s="84"/>
      <c r="AQ123" s="84"/>
      <c r="AR123" s="84"/>
      <c r="AS123" s="84"/>
      <c r="AT123" s="84"/>
      <c r="AU123" s="84"/>
      <c r="AV123" s="84"/>
      <c r="AW123" s="84"/>
      <c r="AX123" s="84"/>
      <c r="AY123" s="84"/>
      <c r="AZ123" s="84"/>
      <c r="BA123" s="84"/>
      <c r="BB123" s="84"/>
      <c r="BC123" s="84"/>
      <c r="BD123" s="84"/>
      <c r="BE123" s="84"/>
      <c r="BF123" s="84"/>
      <c r="BG123" s="84"/>
      <c r="BH123" s="84"/>
      <c r="BI123" s="84"/>
      <c r="BJ123" s="84"/>
      <c r="BK123" s="84"/>
      <c r="BL123" s="84"/>
      <c r="BM123" s="84"/>
      <c r="BN123" s="84"/>
      <c r="BO123" s="84"/>
      <c r="BP123" s="84"/>
      <c r="BQ123" s="84"/>
      <c r="BR123" s="84"/>
    </row>
    <row r="124" spans="1:70" s="30" customFormat="1" ht="30" customHeight="1" thickBot="1">
      <c r="A124" s="31"/>
      <c r="B124" s="110"/>
      <c r="C124" s="110"/>
      <c r="D124" s="110"/>
      <c r="E124" s="110"/>
      <c r="F124" s="53"/>
      <c r="G124" s="53"/>
      <c r="H124" s="53"/>
      <c r="I124" s="53"/>
      <c r="J124" s="53"/>
      <c r="K124" s="72"/>
      <c r="L124" s="72"/>
      <c r="M124" s="64"/>
      <c r="N124" s="68" t="str">
        <f t="shared" si="5"/>
        <v/>
      </c>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4"/>
      <c r="BG124" s="84"/>
      <c r="BH124" s="84"/>
      <c r="BI124" s="84"/>
      <c r="BJ124" s="84"/>
      <c r="BK124" s="84"/>
      <c r="BL124" s="84"/>
      <c r="BM124" s="84"/>
      <c r="BN124" s="84"/>
      <c r="BO124" s="84"/>
      <c r="BP124" s="84"/>
      <c r="BQ124" s="84"/>
      <c r="BR124" s="84"/>
    </row>
    <row r="125" spans="1:70" s="30" customFormat="1" ht="30" customHeight="1" thickBot="1">
      <c r="A125" s="31"/>
      <c r="B125" s="110"/>
      <c r="C125" s="110"/>
      <c r="D125" s="110"/>
      <c r="E125" s="110"/>
      <c r="F125" s="53"/>
      <c r="G125" s="53"/>
      <c r="H125" s="53"/>
      <c r="I125" s="53"/>
      <c r="J125" s="53"/>
      <c r="K125" s="72"/>
      <c r="L125" s="72"/>
      <c r="M125" s="64"/>
      <c r="N125" s="68" t="str">
        <f t="shared" si="5"/>
        <v/>
      </c>
      <c r="O125" s="84"/>
      <c r="P125" s="84"/>
      <c r="Q125" s="84"/>
      <c r="R125" s="84"/>
      <c r="S125" s="84"/>
      <c r="T125" s="84"/>
      <c r="U125" s="84"/>
      <c r="V125" s="84"/>
      <c r="W125" s="84"/>
      <c r="X125" s="84"/>
      <c r="Y125" s="84"/>
      <c r="Z125" s="84"/>
      <c r="AA125" s="84"/>
      <c r="AB125" s="84"/>
      <c r="AC125" s="84"/>
      <c r="AD125" s="84"/>
      <c r="AE125" s="89"/>
      <c r="AF125" s="84"/>
      <c r="AG125" s="84"/>
      <c r="AH125" s="84"/>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4"/>
      <c r="BE125" s="84"/>
      <c r="BF125" s="84"/>
      <c r="BG125" s="84"/>
      <c r="BH125" s="84"/>
      <c r="BI125" s="84"/>
      <c r="BJ125" s="84"/>
      <c r="BK125" s="84"/>
      <c r="BL125" s="84"/>
      <c r="BM125" s="84"/>
      <c r="BN125" s="84"/>
      <c r="BO125" s="84"/>
      <c r="BP125" s="84"/>
      <c r="BQ125" s="84"/>
      <c r="BR125" s="84"/>
    </row>
    <row r="126" spans="1:70" s="30" customFormat="1" ht="30" customHeight="1" thickBot="1">
      <c r="A126" s="31"/>
      <c r="B126" s="111"/>
      <c r="C126" s="111"/>
      <c r="D126" s="110"/>
      <c r="E126" s="110"/>
      <c r="F126" s="53"/>
      <c r="G126" s="53"/>
      <c r="H126" s="53"/>
      <c r="I126" s="53"/>
      <c r="J126" s="53"/>
      <c r="K126" s="72"/>
      <c r="L126" s="72"/>
      <c r="M126" s="64"/>
      <c r="N126" s="68" t="str">
        <f t="shared" si="5"/>
        <v/>
      </c>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4"/>
      <c r="AM126" s="84"/>
      <c r="AN126" s="84"/>
      <c r="AO126" s="84"/>
      <c r="AP126" s="84"/>
      <c r="AQ126" s="84"/>
      <c r="AR126" s="84"/>
      <c r="AS126" s="84"/>
      <c r="AT126" s="84"/>
      <c r="AU126" s="84"/>
      <c r="AV126" s="84"/>
      <c r="AW126" s="84"/>
      <c r="AX126" s="84"/>
      <c r="AY126" s="84"/>
      <c r="AZ126" s="84"/>
      <c r="BA126" s="84"/>
      <c r="BB126" s="84"/>
      <c r="BC126" s="84"/>
      <c r="BD126" s="84"/>
      <c r="BE126" s="84"/>
      <c r="BF126" s="84"/>
      <c r="BG126" s="84"/>
      <c r="BH126" s="84"/>
      <c r="BI126" s="84"/>
      <c r="BJ126" s="84"/>
      <c r="BK126" s="84"/>
      <c r="BL126" s="84"/>
      <c r="BM126" s="84"/>
      <c r="BN126" s="84"/>
      <c r="BO126" s="84"/>
      <c r="BP126" s="84"/>
      <c r="BQ126" s="84"/>
      <c r="BR126" s="84"/>
    </row>
    <row r="127" spans="1:70" s="30" customFormat="1" ht="30" customHeight="1" thickBot="1">
      <c r="A127" s="31"/>
      <c r="B127" s="112"/>
      <c r="C127" s="112"/>
      <c r="D127" s="110"/>
      <c r="E127" s="110"/>
      <c r="F127" s="53"/>
      <c r="G127" s="53"/>
      <c r="H127" s="53"/>
      <c r="I127" s="53"/>
      <c r="J127" s="53"/>
      <c r="K127" s="72"/>
      <c r="L127" s="72"/>
      <c r="M127" s="64"/>
      <c r="N127" s="68"/>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row>
    <row r="128" spans="1:70" s="30" customFormat="1" ht="30" customHeight="1" thickBot="1">
      <c r="A128" s="31"/>
      <c r="B128" s="121"/>
      <c r="C128" s="121"/>
      <c r="D128" s="122"/>
      <c r="E128" s="122"/>
      <c r="F128" s="123"/>
      <c r="G128" s="123"/>
      <c r="H128" s="123"/>
      <c r="I128" s="123"/>
      <c r="J128" s="123"/>
      <c r="K128" s="132"/>
      <c r="L128" s="132"/>
      <c r="M128" s="64"/>
      <c r="N128" s="68" t="str">
        <f t="shared" si="5"/>
        <v/>
      </c>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row>
    <row r="129" spans="1:70" s="30" customFormat="1" ht="30" customHeight="1" thickBot="1">
      <c r="A129" s="34"/>
      <c r="B129" s="124" t="s">
        <v>94</v>
      </c>
      <c r="C129" s="124"/>
      <c r="D129" s="125"/>
      <c r="E129" s="125"/>
      <c r="F129" s="126"/>
      <c r="G129" s="126"/>
      <c r="H129" s="126"/>
      <c r="I129" s="126"/>
      <c r="J129" s="126"/>
      <c r="K129" s="133"/>
      <c r="L129" s="134"/>
      <c r="M129" s="64"/>
      <c r="N129" s="135" t="str">
        <f t="shared" si="5"/>
        <v/>
      </c>
      <c r="O129" s="138"/>
      <c r="P129" s="138"/>
      <c r="Q129" s="138"/>
      <c r="R129" s="138"/>
      <c r="S129" s="138"/>
      <c r="T129" s="138"/>
      <c r="U129" s="138"/>
      <c r="V129" s="138"/>
      <c r="W129" s="138"/>
      <c r="X129" s="138"/>
      <c r="Y129" s="138"/>
      <c r="Z129" s="138"/>
      <c r="AA129" s="138"/>
      <c r="AB129" s="138"/>
      <c r="AC129" s="138"/>
      <c r="AD129" s="138"/>
      <c r="AE129" s="138"/>
      <c r="AF129" s="138"/>
      <c r="AG129" s="138"/>
      <c r="AH129" s="138"/>
      <c r="AI129" s="138"/>
      <c r="AJ129" s="138"/>
      <c r="AK129" s="138"/>
      <c r="AL129" s="138"/>
      <c r="AM129" s="138"/>
      <c r="AN129" s="138"/>
      <c r="AO129" s="138"/>
      <c r="AP129" s="138"/>
      <c r="AQ129" s="138"/>
      <c r="AR129" s="138"/>
      <c r="AS129" s="138"/>
      <c r="AT129" s="138"/>
      <c r="AU129" s="138"/>
      <c r="AV129" s="138"/>
      <c r="AW129" s="138"/>
      <c r="AX129" s="138"/>
      <c r="AY129" s="138"/>
      <c r="AZ129" s="138"/>
      <c r="BA129" s="138"/>
      <c r="BB129" s="138"/>
      <c r="BC129" s="138"/>
      <c r="BD129" s="138"/>
      <c r="BE129" s="138"/>
      <c r="BF129" s="138"/>
      <c r="BG129" s="138"/>
      <c r="BH129" s="138"/>
      <c r="BI129" s="138"/>
      <c r="BJ129" s="138"/>
      <c r="BK129" s="138"/>
      <c r="BL129" s="138"/>
      <c r="BM129" s="138"/>
      <c r="BN129" s="138"/>
      <c r="BO129" s="138"/>
      <c r="BP129" s="138"/>
      <c r="BQ129" s="138"/>
      <c r="BR129" s="138"/>
    </row>
    <row r="130" spans="1:70" ht="30" customHeight="1">
      <c r="M130" s="136"/>
    </row>
    <row r="131" spans="1:70" ht="30" customHeight="1">
      <c r="D131" s="127"/>
      <c r="E131" s="127"/>
      <c r="L131" s="137"/>
    </row>
    <row r="132" spans="1:70" ht="30" customHeight="1">
      <c r="D132" s="128"/>
      <c r="E132" s="128"/>
    </row>
  </sheetData>
  <sheetProtection formatCells="0" formatColumns="0" formatRows="0" insertColumns="0" insertRows="0" insertHyperlinks="0" deleteColumns="0" deleteRows="0" sort="0" autoFilter="0" pivotTables="0"/>
  <mergeCells count="24">
    <mergeCell ref="L5:L6"/>
    <mergeCell ref="A5:A6"/>
    <mergeCell ref="B5:B6"/>
    <mergeCell ref="D5:D6"/>
    <mergeCell ref="F5:F6"/>
    <mergeCell ref="K5:K6"/>
    <mergeCell ref="H5:H6"/>
    <mergeCell ref="I5:I6"/>
    <mergeCell ref="J5:J6"/>
    <mergeCell ref="G5:G6"/>
    <mergeCell ref="C5:C6"/>
    <mergeCell ref="E5:E6"/>
    <mergeCell ref="AJ4:AP4"/>
    <mergeCell ref="AQ4:AW4"/>
    <mergeCell ref="AX4:BD4"/>
    <mergeCell ref="BE4:BK4"/>
    <mergeCell ref="BL4:BR4"/>
    <mergeCell ref="O1:U1"/>
    <mergeCell ref="W1:AF1"/>
    <mergeCell ref="O2:U2"/>
    <mergeCell ref="W2:AF2"/>
    <mergeCell ref="O4:U4"/>
    <mergeCell ref="V4:AB4"/>
    <mergeCell ref="AC4:AI4"/>
  </mergeCells>
  <phoneticPr fontId="37" type="noConversion"/>
  <conditionalFormatting sqref="E120:E123">
    <cfRule type="dataBar" priority="1">
      <dataBar>
        <cfvo type="num" val="0"/>
        <cfvo type="num" val="1"/>
        <color theme="0"/>
      </dataBar>
      <extLst>
        <ext xmlns:x14="http://schemas.microsoft.com/office/spreadsheetml/2009/9/main" uri="{B025F937-C7B1-47D3-B67F-A62EFF666E3E}">
          <x14:id>{27918BB4-6592-4075-90B4-A01DF92533E2}</x14:id>
        </ext>
      </extLst>
    </cfRule>
  </conditionalFormatting>
  <conditionalFormatting sqref="F120:J129 H10">
    <cfRule type="dataBar" priority="18">
      <dataBar>
        <cfvo type="num" val="0"/>
        <cfvo type="num" val="1"/>
        <color theme="0"/>
      </dataBar>
      <extLst>
        <ext xmlns:x14="http://schemas.microsoft.com/office/spreadsheetml/2009/9/main" uri="{B025F937-C7B1-47D3-B67F-A62EFF666E3E}">
          <x14:id>{2D033FD0-C04B-4533-88CF-D64CD8A2E616}</x14:id>
        </ext>
      </extLst>
    </cfRule>
  </conditionalFormatting>
  <conditionalFormatting sqref="H12">
    <cfRule type="dataBar" priority="17">
      <dataBar>
        <cfvo type="num" val="0"/>
        <cfvo type="num" val="1"/>
        <color theme="0"/>
      </dataBar>
      <extLst>
        <ext xmlns:x14="http://schemas.microsoft.com/office/spreadsheetml/2009/9/main" uri="{B025F937-C7B1-47D3-B67F-A62EFF666E3E}">
          <x14:id>{AF796512-85C4-4E30-8487-2535794F2843}</x14:id>
        </ext>
      </extLst>
    </cfRule>
  </conditionalFormatting>
  <conditionalFormatting sqref="H16">
    <cfRule type="dataBar" priority="16">
      <dataBar>
        <cfvo type="num" val="0"/>
        <cfvo type="num" val="1"/>
        <color theme="0"/>
      </dataBar>
      <extLst>
        <ext xmlns:x14="http://schemas.microsoft.com/office/spreadsheetml/2009/9/main" uri="{B025F937-C7B1-47D3-B67F-A62EFF666E3E}">
          <x14:id>{7435DD21-6096-4BC6-8E64-4B5C0F857207}</x14:id>
        </ext>
      </extLst>
    </cfRule>
  </conditionalFormatting>
  <conditionalFormatting sqref="H21">
    <cfRule type="dataBar" priority="15">
      <dataBar>
        <cfvo type="num" val="0"/>
        <cfvo type="num" val="1"/>
        <color theme="0"/>
      </dataBar>
      <extLst>
        <ext xmlns:x14="http://schemas.microsoft.com/office/spreadsheetml/2009/9/main" uri="{B025F937-C7B1-47D3-B67F-A62EFF666E3E}">
          <x14:id>{8C4A1A7D-4ECA-43EF-890F-134B3E52301B}</x14:id>
        </ext>
      </extLst>
    </cfRule>
  </conditionalFormatting>
  <conditionalFormatting sqref="H22">
    <cfRule type="dataBar" priority="14">
      <dataBar>
        <cfvo type="num" val="0"/>
        <cfvo type="num" val="1"/>
        <color theme="0"/>
      </dataBar>
      <extLst>
        <ext xmlns:x14="http://schemas.microsoft.com/office/spreadsheetml/2009/9/main" uri="{B025F937-C7B1-47D3-B67F-A62EFF666E3E}">
          <x14:id>{3C4E09C8-DA08-4F39-BB8E-141E19858B42}</x14:id>
        </ext>
      </extLst>
    </cfRule>
  </conditionalFormatting>
  <conditionalFormatting sqref="H25">
    <cfRule type="dataBar" priority="13">
      <dataBar>
        <cfvo type="num" val="0"/>
        <cfvo type="num" val="1"/>
        <color theme="0"/>
      </dataBar>
      <extLst>
        <ext xmlns:x14="http://schemas.microsoft.com/office/spreadsheetml/2009/9/main" uri="{B025F937-C7B1-47D3-B67F-A62EFF666E3E}">
          <x14:id>{D72111D4-E617-4079-8D06-272DD1D9DBB8}</x14:id>
        </ext>
      </extLst>
    </cfRule>
  </conditionalFormatting>
  <conditionalFormatting sqref="H26">
    <cfRule type="dataBar" priority="12">
      <dataBar>
        <cfvo type="num" val="0"/>
        <cfvo type="num" val="1"/>
        <color theme="0"/>
      </dataBar>
      <extLst>
        <ext xmlns:x14="http://schemas.microsoft.com/office/spreadsheetml/2009/9/main" uri="{B025F937-C7B1-47D3-B67F-A62EFF666E3E}">
          <x14:id>{A928C417-D5E3-4AA4-9253-36D053823D86}</x14:id>
        </ext>
      </extLst>
    </cfRule>
  </conditionalFormatting>
  <conditionalFormatting sqref="H27">
    <cfRule type="dataBar" priority="11">
      <dataBar>
        <cfvo type="num" val="0"/>
        <cfvo type="num" val="1"/>
        <color theme="0"/>
      </dataBar>
      <extLst>
        <ext xmlns:x14="http://schemas.microsoft.com/office/spreadsheetml/2009/9/main" uri="{B025F937-C7B1-47D3-B67F-A62EFF666E3E}">
          <x14:id>{101D363E-B9E4-4BBC-9549-68760C6DC3DE}</x14:id>
        </ext>
      </extLst>
    </cfRule>
  </conditionalFormatting>
  <conditionalFormatting sqref="H29">
    <cfRule type="dataBar" priority="10">
      <dataBar>
        <cfvo type="num" val="0"/>
        <cfvo type="num" val="1"/>
        <color theme="0"/>
      </dataBar>
      <extLst>
        <ext xmlns:x14="http://schemas.microsoft.com/office/spreadsheetml/2009/9/main" uri="{B025F937-C7B1-47D3-B67F-A62EFF666E3E}">
          <x14:id>{7FC45DE8-022A-4400-AD7A-844104215A3D}</x14:id>
        </ext>
      </extLst>
    </cfRule>
  </conditionalFormatting>
  <conditionalFormatting sqref="H35">
    <cfRule type="dataBar" priority="9">
      <dataBar>
        <cfvo type="num" val="0"/>
        <cfvo type="num" val="1"/>
        <color theme="0"/>
      </dataBar>
      <extLst>
        <ext xmlns:x14="http://schemas.microsoft.com/office/spreadsheetml/2009/9/main" uri="{B025F937-C7B1-47D3-B67F-A62EFF666E3E}">
          <x14:id>{ED1E1AF3-104A-4842-9F82-69E47DE02AD5}</x14:id>
        </ext>
      </extLst>
    </cfRule>
  </conditionalFormatting>
  <conditionalFormatting sqref="H36">
    <cfRule type="dataBar" priority="8">
      <dataBar>
        <cfvo type="num" val="0"/>
        <cfvo type="num" val="1"/>
        <color theme="0"/>
      </dataBar>
      <extLst>
        <ext xmlns:x14="http://schemas.microsoft.com/office/spreadsheetml/2009/9/main" uri="{B025F937-C7B1-47D3-B67F-A62EFF666E3E}">
          <x14:id>{FE177C58-FE30-4A12-89DC-DB84B3951D67}</x14:id>
        </ext>
      </extLst>
    </cfRule>
  </conditionalFormatting>
  <conditionalFormatting sqref="H38">
    <cfRule type="dataBar" priority="7">
      <dataBar>
        <cfvo type="num" val="0"/>
        <cfvo type="num" val="1"/>
        <color theme="0"/>
      </dataBar>
      <extLst>
        <ext xmlns:x14="http://schemas.microsoft.com/office/spreadsheetml/2009/9/main" uri="{B025F937-C7B1-47D3-B67F-A62EFF666E3E}">
          <x14:id>{C7903CF3-7009-4EE4-9AA2-BA53F5AB2A48}</x14:id>
        </ext>
      </extLst>
    </cfRule>
  </conditionalFormatting>
  <conditionalFormatting sqref="H40">
    <cfRule type="dataBar" priority="6">
      <dataBar>
        <cfvo type="num" val="0"/>
        <cfvo type="num" val="1"/>
        <color theme="0"/>
      </dataBar>
      <extLst>
        <ext xmlns:x14="http://schemas.microsoft.com/office/spreadsheetml/2009/9/main" uri="{B025F937-C7B1-47D3-B67F-A62EFF666E3E}">
          <x14:id>{1F59B87B-B734-4EF6-B7B3-3F78E270A2F3}</x14:id>
        </ext>
      </extLst>
    </cfRule>
  </conditionalFormatting>
  <conditionalFormatting sqref="H43">
    <cfRule type="dataBar" priority="5">
      <dataBar>
        <cfvo type="num" val="0"/>
        <cfvo type="num" val="1"/>
        <color theme="0"/>
      </dataBar>
      <extLst>
        <ext xmlns:x14="http://schemas.microsoft.com/office/spreadsheetml/2009/9/main" uri="{B025F937-C7B1-47D3-B67F-A62EFF666E3E}">
          <x14:id>{CDE26A77-4F6A-43A1-8BB8-1F8EA0F2D6F5}</x14:id>
        </ext>
      </extLst>
    </cfRule>
  </conditionalFormatting>
  <conditionalFormatting sqref="H119">
    <cfRule type="dataBar" priority="4">
      <dataBar>
        <cfvo type="num" val="0"/>
        <cfvo type="num" val="1"/>
        <color theme="0"/>
      </dataBar>
      <extLst>
        <ext xmlns:x14="http://schemas.microsoft.com/office/spreadsheetml/2009/9/main" uri="{B025F937-C7B1-47D3-B67F-A62EFF666E3E}">
          <x14:id>{F5350D40-FC41-447B-957D-D2FC24B44433}</x14:id>
        </ext>
      </extLst>
    </cfRule>
  </conditionalFormatting>
  <conditionalFormatting sqref="I10:J10 F28:J28 I12:J12 F17:J20 F16:G16 I16:J16 F23:J24 F21:G22 I21:J22 F25:G27 I25:J27 F30:J34 F29:G29 I29:J29 F37:J37 F35:G36 I35:J36 F39:J39 F38:G38 I38:J38 F41:J42 F40:G40 I40:J40 F43:G43 I43:J43 F119:G119 I119:J119 F10:G10 F11:J11 F12:G12 F13:J15 F7:J9 F44:J118 E8:E119">
    <cfRule type="dataBar" priority="75">
      <dataBar>
        <cfvo type="num" val="0"/>
        <cfvo type="num" val="1"/>
        <color theme="0"/>
      </dataBar>
      <extLst>
        <ext xmlns:x14="http://schemas.microsoft.com/office/spreadsheetml/2009/9/main" uri="{B025F937-C7B1-47D3-B67F-A62EFF666E3E}">
          <x14:id>{E791BE25-47EE-46D7-85AC-9DD37FD44E44}</x14:id>
        </ext>
      </extLst>
    </cfRule>
  </conditionalFormatting>
  <conditionalFormatting sqref="O4:BR127">
    <cfRule type="expression" dxfId="38" priority="53">
      <formula>AND(TODAY()&gt;=O$5,TODAY()&lt;P$5)</formula>
    </cfRule>
  </conditionalFormatting>
  <conditionalFormatting sqref="O9:BR13">
    <cfRule type="expression" dxfId="37" priority="59" stopIfTrue="1">
      <formula>AND(task_end&gt;=O$5,task_start&lt;P$5)</formula>
    </cfRule>
    <cfRule type="expression" dxfId="36" priority="58">
      <formula>AND(task_start&lt;=O$5,ROUNDDOWN((task_end-task_start+1)*task_progress,0)+task_start-1&gt;=O$5)</formula>
    </cfRule>
  </conditionalFormatting>
  <conditionalFormatting sqref="O15:BR19">
    <cfRule type="expression" dxfId="35" priority="56">
      <formula>AND(task_start&lt;=O$5,ROUNDDOWN((task_end-task_start+1)*task_progress,0)+task_start-1&gt;=O$5)</formula>
    </cfRule>
    <cfRule type="expression" dxfId="34" priority="57" stopIfTrue="1">
      <formula>AND(task_end&gt;=O$5,task_start&lt;P$5)</formula>
    </cfRule>
  </conditionalFormatting>
  <conditionalFormatting sqref="O21:BR23">
    <cfRule type="expression" dxfId="33" priority="54">
      <formula>AND(task_start&lt;=O$5,ROUNDDOWN((task_end-task_start+1)*task_progress,0)+task_start-1&gt;=O$5)</formula>
    </cfRule>
    <cfRule type="expression" dxfId="32" priority="55" stopIfTrue="1">
      <formula>AND(task_end&gt;=O$5,task_start&lt;P$5)</formula>
    </cfRule>
  </conditionalFormatting>
  <conditionalFormatting sqref="O25:BR30 O53:BR56">
    <cfRule type="expression" dxfId="31" priority="89" stopIfTrue="1">
      <formula>AND(task_end&gt;=O$5,task_start&lt;P$5)</formula>
    </cfRule>
    <cfRule type="expression" dxfId="30" priority="88">
      <formula>AND(task_start&lt;=O$5,ROUNDDOWN((task_end-task_start+1)*task_progress,0)+task_start-1&gt;=O$5)</formula>
    </cfRule>
  </conditionalFormatting>
  <conditionalFormatting sqref="O32:BR40">
    <cfRule type="expression" dxfId="29" priority="51">
      <formula>AND(task_start&lt;=O$5,ROUNDDOWN((task_end-task_start+1)*task_progress,0)+task_start-1&gt;=O$5)</formula>
    </cfRule>
    <cfRule type="expression" dxfId="28" priority="52" stopIfTrue="1">
      <formula>AND(task_end&gt;=O$5,task_start&lt;P$5)</formula>
    </cfRule>
  </conditionalFormatting>
  <conditionalFormatting sqref="O42:BR45">
    <cfRule type="expression" dxfId="27" priority="49">
      <formula>AND(task_start&lt;=O$5,ROUNDDOWN((task_end-task_start+1)*task_progress,0)+task_start-1&gt;=O$5)</formula>
    </cfRule>
    <cfRule type="expression" dxfId="26" priority="50" stopIfTrue="1">
      <formula>AND(task_end&gt;=O$5,task_start&lt;P$5)</formula>
    </cfRule>
  </conditionalFormatting>
  <conditionalFormatting sqref="O47:BR51">
    <cfRule type="expression" dxfId="25" priority="45">
      <formula>AND(task_start&lt;=O$5,ROUNDDOWN((task_end-task_start+1)*task_progress,0)+task_start-1&gt;=O$5)</formula>
    </cfRule>
    <cfRule type="expression" dxfId="24" priority="46" stopIfTrue="1">
      <formula>AND(task_end&gt;=O$5,task_start&lt;P$5)</formula>
    </cfRule>
  </conditionalFormatting>
  <conditionalFormatting sqref="O58:BR62">
    <cfRule type="expression" dxfId="23" priority="43">
      <formula>AND(task_start&lt;=O$5,ROUNDDOWN((task_end-task_start+1)*task_progress,0)+task_start-1&gt;=O$5)</formula>
    </cfRule>
    <cfRule type="expression" dxfId="22" priority="44" stopIfTrue="1">
      <formula>AND(task_end&gt;=O$5,task_start&lt;P$5)</formula>
    </cfRule>
  </conditionalFormatting>
  <conditionalFormatting sqref="O64:BR69">
    <cfRule type="expression" dxfId="21" priority="41">
      <formula>AND(task_start&lt;=O$5,ROUNDDOWN((task_end-task_start+1)*task_progress,0)+task_start-1&gt;=O$5)</formula>
    </cfRule>
    <cfRule type="expression" dxfId="20" priority="42" stopIfTrue="1">
      <formula>AND(task_end&gt;=O$5,task_start&lt;P$5)</formula>
    </cfRule>
  </conditionalFormatting>
  <conditionalFormatting sqref="O71:BR74">
    <cfRule type="expression" dxfId="19" priority="37">
      <formula>AND(task_start&lt;=O$5,ROUNDDOWN((task_end-task_start+1)*task_progress,0)+task_start-1&gt;=O$5)</formula>
    </cfRule>
    <cfRule type="expression" dxfId="18" priority="38" stopIfTrue="1">
      <formula>AND(task_end&gt;=O$5,task_start&lt;P$5)</formula>
    </cfRule>
  </conditionalFormatting>
  <conditionalFormatting sqref="O76:BR79">
    <cfRule type="expression" dxfId="17" priority="35">
      <formula>AND(task_start&lt;=O$5,ROUNDDOWN((task_end-task_start+1)*task_progress,0)+task_start-1&gt;=O$5)</formula>
    </cfRule>
    <cfRule type="expression" dxfId="16" priority="36" stopIfTrue="1">
      <formula>AND(task_end&gt;=O$5,task_start&lt;P$5)</formula>
    </cfRule>
  </conditionalFormatting>
  <conditionalFormatting sqref="O81:BR85">
    <cfRule type="expression" dxfId="15" priority="33">
      <formula>AND(task_start&lt;=O$5,ROUNDDOWN((task_end-task_start+1)*task_progress,0)+task_start-1&gt;=O$5)</formula>
    </cfRule>
    <cfRule type="expression" dxfId="14" priority="34" stopIfTrue="1">
      <formula>AND(task_end&gt;=O$5,task_start&lt;P$5)</formula>
    </cfRule>
  </conditionalFormatting>
  <conditionalFormatting sqref="O87:BR92">
    <cfRule type="expression" dxfId="13" priority="31">
      <formula>AND(task_start&lt;=O$5,ROUNDDOWN((task_end-task_start+1)*task_progress,0)+task_start-1&gt;=O$5)</formula>
    </cfRule>
    <cfRule type="expression" dxfId="12" priority="32" stopIfTrue="1">
      <formula>AND(task_end&gt;=O$5,task_start&lt;P$5)</formula>
    </cfRule>
  </conditionalFormatting>
  <conditionalFormatting sqref="O94:BR98">
    <cfRule type="expression" dxfId="11" priority="28" stopIfTrue="1">
      <formula>AND(task_end&gt;=O$5,task_start&lt;P$5)</formula>
    </cfRule>
    <cfRule type="expression" dxfId="10" priority="27">
      <formula>AND(task_start&lt;=O$5,ROUNDDOWN((task_end-task_start+1)*task_progress,0)+task_start-1&gt;=O$5)</formula>
    </cfRule>
  </conditionalFormatting>
  <conditionalFormatting sqref="O100:BR102">
    <cfRule type="expression" dxfId="9" priority="26" stopIfTrue="1">
      <formula>AND(task_end&gt;=O$5,task_start&lt;P$5)</formula>
    </cfRule>
    <cfRule type="expression" dxfId="8" priority="25">
      <formula>AND(task_start&lt;=O$5,ROUNDDOWN((task_end-task_start+1)*task_progress,0)+task_start-1&gt;=O$5)</formula>
    </cfRule>
  </conditionalFormatting>
  <conditionalFormatting sqref="O104:BR108">
    <cfRule type="expression" dxfId="7" priority="24" stopIfTrue="1">
      <formula>AND(task_end&gt;=O$5,task_start&lt;P$5)</formula>
    </cfRule>
    <cfRule type="expression" dxfId="6" priority="23">
      <formula>AND(task_start&lt;=O$5,ROUNDDOWN((task_end-task_start+1)*task_progress,0)+task_start-1&gt;=O$5)</formula>
    </cfRule>
  </conditionalFormatting>
  <conditionalFormatting sqref="O110:BR115">
    <cfRule type="expression" dxfId="5" priority="22" stopIfTrue="1">
      <formula>AND(task_end&gt;=O$5,task_start&lt;P$5)</formula>
    </cfRule>
    <cfRule type="expression" dxfId="4" priority="21">
      <formula>AND(task_start&lt;=O$5,ROUNDDOWN((task_end-task_start+1)*task_progress,0)+task_start-1&gt;=O$5)</formula>
    </cfRule>
  </conditionalFormatting>
  <conditionalFormatting sqref="O117:BR120">
    <cfRule type="expression" dxfId="3" priority="19">
      <formula>AND(task_start&lt;=O$5,ROUNDDOWN((task_end-task_start+1)*task_progress,0)+task_start-1&gt;=O$5)</formula>
    </cfRule>
    <cfRule type="expression" dxfId="2" priority="20" stopIfTrue="1">
      <formula>AND(task_end&gt;=O$5,task_start&lt;P$5)</formula>
    </cfRule>
  </conditionalFormatting>
  <conditionalFormatting sqref="O122:BR127">
    <cfRule type="expression" dxfId="1" priority="2">
      <formula>AND(task_start&lt;=O$5,ROUNDDOWN((task_end-task_start+1)*task_progress,0)+task_start-1&gt;=O$5)</formula>
    </cfRule>
    <cfRule type="expression" dxfId="0" priority="3" stopIfTrue="1">
      <formula>AND(task_end&gt;=O$5,task_start&lt;P$5)</formula>
    </cfRule>
  </conditionalFormatting>
  <dataValidations count="13">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00000000-0002-0000-0000-000000000000}"/>
    <dataValidation allowBlank="1" showInputMessage="1" showErrorMessage="1" prompt="Enter Company name in cel B2." sqref="A2" xr:uid="{00000000-0002-0000-0000-000001000000}"/>
    <dataValidation type="whole" operator="greaterThanOrEqual" allowBlank="1" showInputMessage="1" promptTitle="Display Week" prompt="Changing this number will scroll the Gantt Chart view." sqref="W2" xr:uid="{00000000-0002-0000-0000-000002000000}">
      <formula1>1</formula1>
    </dataValidation>
    <dataValidation allowBlank="1" showInputMessage="1" showErrorMessage="1" prompt="Enter the name of the Project Lead in cell C3. Enter the Project Start date in cell Q1. Project Start: label is in cell I1." sqref="A3" xr:uid="{00000000-0002-0000-0000-00000300000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000-000004000000}"/>
    <dataValidation allowBlank="1" showInputMessage="1" showErrorMessage="1" prompt="Cell B8 contains the Phase 1 sample title. Enter a new title in cell B8._x000a_To delete the phase and work only from tasks, simply delete this row." sqref="A8 A31 A57 A80 A103 A116" xr:uid="{00000000-0002-0000-0000-0000050000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A32 A37 A58 A81 A104 A117" xr:uid="{00000000-0002-0000-0000-000006000000}"/>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A33 A38 A59 A82 A105 A118" xr:uid="{00000000-0002-0000-0000-00000700000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A41 A63 A86 A109 A121" xr:uid="{00000000-0002-0000-0000-000008000000}"/>
    <dataValidation allowBlank="1" showInputMessage="1" showErrorMessage="1" prompt="Phase 3's sample block starts in cell B20." sqref="A20 A46 A70 A93" xr:uid="{00000000-0002-0000-0000-000009000000}"/>
    <dataValidation allowBlank="1" showInputMessage="1" showErrorMessage="1" prompt="Phase 4's sample block starts in cell B26." sqref="A24 A52 A75 A99" xr:uid="{00000000-0002-0000-0000-00000A000000}"/>
    <dataValidation allowBlank="1" showInputMessage="1" showErrorMessage="1" prompt="This row marks the end of the Project Schedule. DO NOT enter anything in this row. _x000a_Insert new rows ABOVE this one to continue building out your Project Schedule." sqref="A129" xr:uid="{00000000-0002-0000-0000-00000B000000}"/>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000-00000C000000}"/>
  </dataValidations>
  <printOptions horizontalCentered="1"/>
  <pageMargins left="0.35" right="0.35" top="0.35" bottom="0.5" header="0.3" footer="0.3"/>
  <pageSetup scale="57" fitToHeight="0" orientation="landscape" r:id="rId1"/>
  <headerFooter differentFirst="1" scaleWithDoc="0">
    <oddFooter>&amp;CPage &amp;P of &amp;N</oddFooter>
  </headerFooter>
  <extLst>
    <ext xmlns:x14="http://schemas.microsoft.com/office/spreadsheetml/2009/9/main" uri="{78C0D931-6437-407d-A8EE-F0AAD7539E65}">
      <x14:conditionalFormattings>
        <x14:conditionalFormatting xmlns:xm="http://schemas.microsoft.com/office/excel/2006/main">
          <x14:cfRule type="dataBar" id="{27918BB4-6592-4075-90B4-A01DF92533E2}">
            <x14:dataBar minLength="0" maxLength="100" gradient="0">
              <x14:cfvo type="num">
                <xm:f>0</xm:f>
              </x14:cfvo>
              <x14:cfvo type="num">
                <xm:f>1</xm:f>
              </x14:cfvo>
              <x14:negativeFillColor rgb="FFFF0000"/>
              <x14:axisColor rgb="FF000000"/>
            </x14:dataBar>
          </x14:cfRule>
          <xm:sqref>E120:E123</xm:sqref>
        </x14:conditionalFormatting>
        <x14:conditionalFormatting xmlns:xm="http://schemas.microsoft.com/office/excel/2006/main">
          <x14:cfRule type="dataBar" id="{2D033FD0-C04B-4533-88CF-D64CD8A2E616}">
            <x14:dataBar minLength="0" maxLength="100" gradient="0">
              <x14:cfvo type="num">
                <xm:f>0</xm:f>
              </x14:cfvo>
              <x14:cfvo type="num">
                <xm:f>1</xm:f>
              </x14:cfvo>
              <x14:negativeFillColor rgb="FFFF0000"/>
              <x14:axisColor rgb="FF000000"/>
            </x14:dataBar>
          </x14:cfRule>
          <xm:sqref>F120:J129 H10</xm:sqref>
        </x14:conditionalFormatting>
        <x14:conditionalFormatting xmlns:xm="http://schemas.microsoft.com/office/excel/2006/main">
          <x14:cfRule type="dataBar" id="{AF796512-85C4-4E30-8487-2535794F2843}">
            <x14:dataBar minLength="0" maxLength="100" gradient="0">
              <x14:cfvo type="num">
                <xm:f>0</xm:f>
              </x14:cfvo>
              <x14:cfvo type="num">
                <xm:f>1</xm:f>
              </x14:cfvo>
              <x14:negativeFillColor rgb="FFFF0000"/>
              <x14:axisColor rgb="FF000000"/>
            </x14:dataBar>
          </x14:cfRule>
          <xm:sqref>H12</xm:sqref>
        </x14:conditionalFormatting>
        <x14:conditionalFormatting xmlns:xm="http://schemas.microsoft.com/office/excel/2006/main">
          <x14:cfRule type="dataBar" id="{7435DD21-6096-4BC6-8E64-4B5C0F857207}">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8C4A1A7D-4ECA-43EF-890F-134B3E52301B}">
            <x14:dataBar minLength="0" maxLength="100" gradient="0">
              <x14:cfvo type="num">
                <xm:f>0</xm:f>
              </x14:cfvo>
              <x14:cfvo type="num">
                <xm:f>1</xm:f>
              </x14:cfvo>
              <x14:negativeFillColor rgb="FFFF0000"/>
              <x14:axisColor rgb="FF000000"/>
            </x14:dataBar>
          </x14:cfRule>
          <xm:sqref>H21</xm:sqref>
        </x14:conditionalFormatting>
        <x14:conditionalFormatting xmlns:xm="http://schemas.microsoft.com/office/excel/2006/main">
          <x14:cfRule type="dataBar" id="{3C4E09C8-DA08-4F39-BB8E-141E19858B42}">
            <x14:dataBar minLength="0" maxLength="100" gradient="0">
              <x14:cfvo type="num">
                <xm:f>0</xm:f>
              </x14:cfvo>
              <x14:cfvo type="num">
                <xm:f>1</xm:f>
              </x14:cfvo>
              <x14:negativeFillColor rgb="FFFF0000"/>
              <x14:axisColor rgb="FF000000"/>
            </x14:dataBar>
          </x14:cfRule>
          <xm:sqref>H22</xm:sqref>
        </x14:conditionalFormatting>
        <x14:conditionalFormatting xmlns:xm="http://schemas.microsoft.com/office/excel/2006/main">
          <x14:cfRule type="dataBar" id="{D72111D4-E617-4079-8D06-272DD1D9DBB8}">
            <x14:dataBar minLength="0" maxLength="100" gradient="0">
              <x14:cfvo type="num">
                <xm:f>0</xm:f>
              </x14:cfvo>
              <x14:cfvo type="num">
                <xm:f>1</xm:f>
              </x14:cfvo>
              <x14:negativeFillColor rgb="FFFF0000"/>
              <x14:axisColor rgb="FF000000"/>
            </x14:dataBar>
          </x14:cfRule>
          <xm:sqref>H25</xm:sqref>
        </x14:conditionalFormatting>
        <x14:conditionalFormatting xmlns:xm="http://schemas.microsoft.com/office/excel/2006/main">
          <x14:cfRule type="dataBar" id="{A928C417-D5E3-4AA4-9253-36D053823D86}">
            <x14:dataBar minLength="0" maxLength="100" gradient="0">
              <x14:cfvo type="num">
                <xm:f>0</xm:f>
              </x14:cfvo>
              <x14:cfvo type="num">
                <xm:f>1</xm:f>
              </x14:cfvo>
              <x14:negativeFillColor rgb="FFFF0000"/>
              <x14:axisColor rgb="FF000000"/>
            </x14:dataBar>
          </x14:cfRule>
          <xm:sqref>H26</xm:sqref>
        </x14:conditionalFormatting>
        <x14:conditionalFormatting xmlns:xm="http://schemas.microsoft.com/office/excel/2006/main">
          <x14:cfRule type="dataBar" id="{101D363E-B9E4-4BBC-9549-68760C6DC3DE}">
            <x14:dataBar minLength="0" maxLength="100" gradient="0">
              <x14:cfvo type="num">
                <xm:f>0</xm:f>
              </x14:cfvo>
              <x14:cfvo type="num">
                <xm:f>1</xm:f>
              </x14:cfvo>
              <x14:negativeFillColor rgb="FFFF0000"/>
              <x14:axisColor rgb="FF000000"/>
            </x14:dataBar>
          </x14:cfRule>
          <xm:sqref>H27</xm:sqref>
        </x14:conditionalFormatting>
        <x14:conditionalFormatting xmlns:xm="http://schemas.microsoft.com/office/excel/2006/main">
          <x14:cfRule type="dataBar" id="{7FC45DE8-022A-4400-AD7A-844104215A3D}">
            <x14:dataBar minLength="0" maxLength="100" gradient="0">
              <x14:cfvo type="num">
                <xm:f>0</xm:f>
              </x14:cfvo>
              <x14:cfvo type="num">
                <xm:f>1</xm:f>
              </x14:cfvo>
              <x14:negativeFillColor rgb="FFFF0000"/>
              <x14:axisColor rgb="FF000000"/>
            </x14:dataBar>
          </x14:cfRule>
          <xm:sqref>H29</xm:sqref>
        </x14:conditionalFormatting>
        <x14:conditionalFormatting xmlns:xm="http://schemas.microsoft.com/office/excel/2006/main">
          <x14:cfRule type="dataBar" id="{ED1E1AF3-104A-4842-9F82-69E47DE02AD5}">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FE177C58-FE30-4A12-89DC-DB84B3951D67}">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C7903CF3-7009-4EE4-9AA2-BA53F5AB2A48}">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1F59B87B-B734-4EF6-B7B3-3F78E270A2F3}">
            <x14:dataBar minLength="0" maxLength="100" gradient="0">
              <x14:cfvo type="num">
                <xm:f>0</xm:f>
              </x14:cfvo>
              <x14:cfvo type="num">
                <xm:f>1</xm:f>
              </x14:cfvo>
              <x14:negativeFillColor rgb="FFFF0000"/>
              <x14:axisColor rgb="FF000000"/>
            </x14:dataBar>
          </x14:cfRule>
          <xm:sqref>H40</xm:sqref>
        </x14:conditionalFormatting>
        <x14:conditionalFormatting xmlns:xm="http://schemas.microsoft.com/office/excel/2006/main">
          <x14:cfRule type="dataBar" id="{CDE26A77-4F6A-43A1-8BB8-1F8EA0F2D6F5}">
            <x14:dataBar minLength="0" maxLength="100" gradient="0">
              <x14:cfvo type="num">
                <xm:f>0</xm:f>
              </x14:cfvo>
              <x14:cfvo type="num">
                <xm:f>1</xm:f>
              </x14:cfvo>
              <x14:negativeFillColor rgb="FFFF0000"/>
              <x14:axisColor rgb="FF000000"/>
            </x14:dataBar>
          </x14:cfRule>
          <xm:sqref>H43</xm:sqref>
        </x14:conditionalFormatting>
        <x14:conditionalFormatting xmlns:xm="http://schemas.microsoft.com/office/excel/2006/main">
          <x14:cfRule type="dataBar" id="{F5350D40-FC41-447B-957D-D2FC24B44433}">
            <x14:dataBar minLength="0" maxLength="100" gradient="0">
              <x14:cfvo type="num">
                <xm:f>0</xm:f>
              </x14:cfvo>
              <x14:cfvo type="num">
                <xm:f>1</xm:f>
              </x14:cfvo>
              <x14:negativeFillColor rgb="FFFF0000"/>
              <x14:axisColor rgb="FF000000"/>
            </x14:dataBar>
          </x14:cfRule>
          <xm:sqref>H119</xm:sqref>
        </x14:conditionalFormatting>
        <x14:conditionalFormatting xmlns:xm="http://schemas.microsoft.com/office/excel/2006/main">
          <x14:cfRule type="dataBar" id="{E791BE25-47EE-46D7-85AC-9DD37FD44E44}">
            <x14:dataBar minLength="0" maxLength="100" gradient="0">
              <x14:cfvo type="num">
                <xm:f>0</xm:f>
              </x14:cfvo>
              <x14:cfvo type="num">
                <xm:f>1</xm:f>
              </x14:cfvo>
              <x14:negativeFillColor rgb="FFFF0000"/>
              <x14:axisColor rgb="FF000000"/>
            </x14:dataBar>
          </x14:cfRule>
          <xm:sqref>I10:J10 F28:J28 I12:J12 F17:J20 F16:G16 I16:J16 F23:J24 F21:G22 I21:J22 F25:G27 I25:J27 F30:J34 F29:G29 I29:J29 F37:J37 F35:G36 I35:J36 F39:J39 F38:G38 I38:J38 F41:J42 F40:G40 I40:J40 F43:G43 I43:J43 F119:G119 I119:J119 F10:G10 F11:J11 F12:G12 F13:J15 F7:J9 F44:J118 E8:E119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B2:V43"/>
  <sheetViews>
    <sheetView tabSelected="1" zoomScale="67" zoomScaleNormal="85" workbookViewId="0">
      <selection activeCell="U17" sqref="U17"/>
    </sheetView>
  </sheetViews>
  <sheetFormatPr defaultColWidth="9" defaultRowHeight="14.25"/>
  <cols>
    <col min="1" max="1" width="1.5" style="3" customWidth="1"/>
    <col min="2" max="2" width="21.125" style="3" customWidth="1"/>
    <col min="3" max="3" width="37.75" style="3" customWidth="1"/>
    <col min="4" max="4" width="9.5" style="3" customWidth="1"/>
    <col min="5" max="5" width="9" style="3"/>
    <col min="6" max="6" width="17.875" style="3" customWidth="1"/>
    <col min="7" max="7" width="15.875" style="3" customWidth="1"/>
    <col min="8" max="8" width="17.25" style="3" customWidth="1"/>
    <col min="9" max="10" width="16.25" style="3" customWidth="1"/>
    <col min="11" max="11" width="18.875" style="3" customWidth="1"/>
    <col min="12" max="18" width="11.125" style="3" hidden="1" customWidth="1"/>
    <col min="19" max="19" width="47.5" style="3" customWidth="1"/>
    <col min="20" max="20" width="21.375" style="3" customWidth="1"/>
    <col min="21" max="21" width="59.75" style="3" customWidth="1"/>
    <col min="22" max="16384" width="9" style="3"/>
  </cols>
  <sheetData>
    <row r="2" spans="2:20" s="1" customFormat="1" ht="17.649999999999999" customHeight="1">
      <c r="B2" s="174" t="s">
        <v>95</v>
      </c>
      <c r="C2" s="165" t="s">
        <v>96</v>
      </c>
      <c r="D2" s="165" t="s">
        <v>188</v>
      </c>
      <c r="E2" s="165" t="s">
        <v>98</v>
      </c>
      <c r="F2" s="168" t="s">
        <v>194</v>
      </c>
      <c r="G2" s="167" t="s">
        <v>162</v>
      </c>
      <c r="H2" s="167" t="s">
        <v>163</v>
      </c>
      <c r="I2" s="166" t="s">
        <v>99</v>
      </c>
      <c r="J2" s="164" t="s">
        <v>195</v>
      </c>
      <c r="K2" s="164" t="s">
        <v>196</v>
      </c>
      <c r="L2" s="171" t="s">
        <v>100</v>
      </c>
      <c r="M2" s="172"/>
      <c r="N2" s="173"/>
      <c r="O2" s="23"/>
      <c r="P2" s="171" t="s">
        <v>101</v>
      </c>
      <c r="Q2" s="172"/>
      <c r="R2" s="173"/>
      <c r="S2" s="166" t="s">
        <v>189</v>
      </c>
      <c r="T2" s="169"/>
    </row>
    <row r="3" spans="2:20" s="1" customFormat="1" ht="63" customHeight="1">
      <c r="B3" s="174"/>
      <c r="C3" s="165"/>
      <c r="D3" s="165"/>
      <c r="E3" s="165"/>
      <c r="F3" s="167"/>
      <c r="G3" s="167"/>
      <c r="H3" s="168"/>
      <c r="I3" s="166"/>
      <c r="J3" s="164"/>
      <c r="K3" s="164"/>
      <c r="L3" s="14" t="s">
        <v>102</v>
      </c>
      <c r="M3" s="24" t="s">
        <v>103</v>
      </c>
      <c r="N3" s="25" t="s">
        <v>104</v>
      </c>
      <c r="O3" s="26"/>
      <c r="P3" s="14" t="s">
        <v>105</v>
      </c>
      <c r="Q3" s="24" t="s">
        <v>103</v>
      </c>
      <c r="R3" s="25" t="s">
        <v>104</v>
      </c>
      <c r="S3" s="166"/>
      <c r="T3" s="169"/>
    </row>
    <row r="4" spans="2:20" s="1" customFormat="1" ht="6" customHeight="1">
      <c r="L4" s="15"/>
      <c r="M4" s="26"/>
      <c r="N4" s="26"/>
      <c r="O4" s="26"/>
      <c r="P4" s="15"/>
      <c r="Q4" s="26"/>
      <c r="R4" s="26"/>
      <c r="S4" s="26"/>
    </row>
    <row r="5" spans="2:20" ht="20.45" customHeight="1">
      <c r="B5" s="175" t="s">
        <v>106</v>
      </c>
      <c r="C5" s="5" t="s">
        <v>10</v>
      </c>
      <c r="D5" s="6">
        <f>'Project schedule'!K8</f>
        <v>46013</v>
      </c>
      <c r="E5" s="16">
        <f>'Project schedule'!L8</f>
        <v>46080</v>
      </c>
      <c r="F5" s="17">
        <v>1</v>
      </c>
      <c r="G5" s="17">
        <f>'Project schedule'!G8</f>
        <v>0.96</v>
      </c>
      <c r="H5" s="149" t="s">
        <v>160</v>
      </c>
      <c r="I5" s="17" t="e">
        <f>#REF!</f>
        <v>#REF!</v>
      </c>
      <c r="J5" s="17">
        <v>0.9</v>
      </c>
      <c r="K5" s="154">
        <v>0.7</v>
      </c>
      <c r="L5" s="17">
        <v>1</v>
      </c>
      <c r="M5" s="17">
        <v>0.9</v>
      </c>
      <c r="N5" s="18">
        <v>0</v>
      </c>
      <c r="O5" s="27"/>
      <c r="P5" s="17">
        <v>0.75</v>
      </c>
      <c r="Q5" s="18">
        <v>0</v>
      </c>
      <c r="R5" s="18">
        <v>0</v>
      </c>
      <c r="S5" s="161" t="s">
        <v>197</v>
      </c>
    </row>
    <row r="6" spans="2:20" ht="20.45" customHeight="1">
      <c r="B6" s="175"/>
      <c r="C6" s="5" t="s">
        <v>17</v>
      </c>
      <c r="D6" s="6">
        <f>'Project schedule'!K14</f>
        <v>46013</v>
      </c>
      <c r="E6" s="16">
        <f>'Project schedule'!L14</f>
        <v>46080</v>
      </c>
      <c r="F6" s="17">
        <v>1</v>
      </c>
      <c r="G6" s="17">
        <f>'Project schedule'!G14</f>
        <v>1</v>
      </c>
      <c r="H6" s="149" t="s">
        <v>160</v>
      </c>
      <c r="I6" s="17" t="e">
        <f>#REF!</f>
        <v>#REF!</v>
      </c>
      <c r="J6" s="17">
        <v>0.7</v>
      </c>
      <c r="K6" s="154">
        <v>0.5</v>
      </c>
      <c r="L6" s="17">
        <v>1</v>
      </c>
      <c r="M6" s="17">
        <v>1</v>
      </c>
      <c r="N6" s="18">
        <v>0</v>
      </c>
      <c r="O6" s="27"/>
      <c r="P6" s="17">
        <v>0.7</v>
      </c>
      <c r="Q6" s="18">
        <v>0</v>
      </c>
      <c r="R6" s="18">
        <v>0</v>
      </c>
      <c r="S6" s="161" t="s">
        <v>198</v>
      </c>
    </row>
    <row r="7" spans="2:20" ht="20.45" customHeight="1">
      <c r="B7" s="175"/>
      <c r="C7" s="5" t="s">
        <v>25</v>
      </c>
      <c r="D7" s="6">
        <f>'Project schedule'!K20</f>
        <v>46013</v>
      </c>
      <c r="E7" s="155">
        <f>'Project schedule'!L20</f>
        <v>46080</v>
      </c>
      <c r="F7" s="17">
        <v>1</v>
      </c>
      <c r="G7" s="17">
        <f>'Project schedule'!G20</f>
        <v>1</v>
      </c>
      <c r="H7" s="149" t="s">
        <v>160</v>
      </c>
      <c r="I7" s="17" t="e">
        <f>#REF!</f>
        <v>#REF!</v>
      </c>
      <c r="J7" s="17">
        <v>0.8</v>
      </c>
      <c r="K7" s="154">
        <v>0.6</v>
      </c>
      <c r="L7" s="17">
        <v>1</v>
      </c>
      <c r="M7" s="17">
        <v>1</v>
      </c>
      <c r="N7" s="18">
        <v>0</v>
      </c>
      <c r="O7" s="27"/>
      <c r="P7" s="17">
        <v>0.8</v>
      </c>
      <c r="Q7" s="18">
        <v>0</v>
      </c>
      <c r="R7" s="18">
        <v>0</v>
      </c>
      <c r="S7" s="161" t="s">
        <v>199</v>
      </c>
    </row>
    <row r="8" spans="2:20" ht="20.45" customHeight="1">
      <c r="B8" s="175"/>
      <c r="C8" s="5" t="s">
        <v>30</v>
      </c>
      <c r="D8" s="6">
        <f>'Project schedule'!K24</f>
        <v>46013</v>
      </c>
      <c r="E8" s="155">
        <f>'Project schedule'!L24</f>
        <v>46080</v>
      </c>
      <c r="F8" s="17">
        <v>1</v>
      </c>
      <c r="G8" s="17">
        <f>'Project schedule'!G24</f>
        <v>1</v>
      </c>
      <c r="H8" s="149" t="s">
        <v>160</v>
      </c>
      <c r="I8" s="17" t="e">
        <f>#REF!</f>
        <v>#REF!</v>
      </c>
      <c r="J8" s="17">
        <v>0.95</v>
      </c>
      <c r="K8" s="154">
        <v>0.9</v>
      </c>
      <c r="L8" s="17">
        <v>1</v>
      </c>
      <c r="M8" s="17">
        <v>0.95</v>
      </c>
      <c r="N8" s="18">
        <v>0</v>
      </c>
      <c r="O8" s="27"/>
      <c r="P8" s="17">
        <v>0.6</v>
      </c>
      <c r="Q8" s="18">
        <v>0</v>
      </c>
      <c r="R8" s="18">
        <v>0</v>
      </c>
      <c r="S8" s="18"/>
    </row>
    <row r="9" spans="2:20" ht="20.45" customHeight="1">
      <c r="B9" s="175"/>
      <c r="C9" s="5" t="s">
        <v>38</v>
      </c>
      <c r="D9" s="6">
        <f>'Project schedule'!K31</f>
        <v>46013</v>
      </c>
      <c r="E9" s="155">
        <f>'Project schedule'!L31</f>
        <v>46112</v>
      </c>
      <c r="F9" s="17">
        <v>1</v>
      </c>
      <c r="G9" s="17">
        <f>'Project schedule'!G31</f>
        <v>0.94444444444444442</v>
      </c>
      <c r="H9" s="149" t="s">
        <v>160</v>
      </c>
      <c r="I9" s="17" t="e">
        <f>#REF!</f>
        <v>#REF!</v>
      </c>
      <c r="J9" s="17">
        <v>0.9</v>
      </c>
      <c r="K9" s="154">
        <v>0.7</v>
      </c>
      <c r="L9" s="17">
        <v>1</v>
      </c>
      <c r="M9" s="17">
        <v>0.69</v>
      </c>
      <c r="N9" s="18">
        <v>0</v>
      </c>
      <c r="O9" s="27"/>
      <c r="P9" s="17">
        <v>0.7</v>
      </c>
      <c r="Q9" s="18">
        <v>0</v>
      </c>
      <c r="R9" s="18">
        <v>0</v>
      </c>
      <c r="S9" s="161" t="s">
        <v>200</v>
      </c>
    </row>
    <row r="10" spans="2:20" ht="20.45" customHeight="1">
      <c r="B10" s="175"/>
      <c r="C10" s="7" t="s">
        <v>107</v>
      </c>
      <c r="D10" s="6">
        <f>'Project schedule'!K41</f>
        <v>46013</v>
      </c>
      <c r="E10" s="155">
        <f>E9</f>
        <v>46112</v>
      </c>
      <c r="F10" s="17">
        <v>1</v>
      </c>
      <c r="G10" s="17">
        <f>'Project schedule'!G41</f>
        <v>0.875</v>
      </c>
      <c r="H10" s="149" t="s">
        <v>160</v>
      </c>
      <c r="I10" s="17" t="e">
        <f>#REF!</f>
        <v>#REF!</v>
      </c>
      <c r="J10" s="17">
        <v>0.8</v>
      </c>
      <c r="K10" s="154">
        <v>0.6</v>
      </c>
      <c r="L10" s="17">
        <v>0.5</v>
      </c>
      <c r="M10" s="17">
        <v>0.5</v>
      </c>
      <c r="N10" s="18">
        <v>0</v>
      </c>
      <c r="O10" s="27"/>
      <c r="P10" s="17">
        <v>0.1</v>
      </c>
      <c r="Q10" s="18">
        <v>0</v>
      </c>
      <c r="R10" s="18">
        <v>0</v>
      </c>
      <c r="S10" s="161" t="s">
        <v>201</v>
      </c>
    </row>
    <row r="11" spans="2:20" ht="20.45" customHeight="1">
      <c r="B11" s="175"/>
      <c r="C11" s="8" t="s">
        <v>108</v>
      </c>
      <c r="D11" s="6">
        <v>46048</v>
      </c>
      <c r="E11" s="155">
        <f>E10</f>
        <v>46112</v>
      </c>
      <c r="F11" s="17">
        <v>1</v>
      </c>
      <c r="G11" s="17">
        <f>'Project schedule'!G39</f>
        <v>0.6</v>
      </c>
      <c r="H11" s="149" t="s">
        <v>160</v>
      </c>
      <c r="I11" s="154">
        <f>G11</f>
        <v>0.6</v>
      </c>
      <c r="J11" s="154">
        <v>0.95</v>
      </c>
      <c r="K11" s="154">
        <v>0.6</v>
      </c>
      <c r="L11" s="19">
        <v>0.3</v>
      </c>
      <c r="M11" s="19">
        <v>0.3</v>
      </c>
      <c r="N11" s="18">
        <v>0</v>
      </c>
      <c r="O11" s="27"/>
      <c r="P11" s="19">
        <v>0.3</v>
      </c>
      <c r="Q11" s="18">
        <v>0</v>
      </c>
      <c r="R11" s="18">
        <v>0</v>
      </c>
      <c r="S11" s="18"/>
    </row>
    <row r="12" spans="2:20" ht="20.45" customHeight="1">
      <c r="B12" s="4" t="s">
        <v>109</v>
      </c>
      <c r="C12" s="5" t="s">
        <v>110</v>
      </c>
      <c r="D12" s="156">
        <v>46054</v>
      </c>
      <c r="E12" s="156">
        <v>46173</v>
      </c>
      <c r="F12" s="149" t="s">
        <v>158</v>
      </c>
      <c r="G12" s="17"/>
      <c r="H12" s="150"/>
      <c r="I12" s="154">
        <v>0</v>
      </c>
      <c r="J12" s="154"/>
      <c r="K12" s="154">
        <v>0</v>
      </c>
      <c r="L12" s="19">
        <v>0</v>
      </c>
      <c r="M12" s="19">
        <v>0</v>
      </c>
      <c r="N12" s="18">
        <v>0</v>
      </c>
      <c r="O12" s="27"/>
      <c r="P12" s="19">
        <v>0</v>
      </c>
      <c r="Q12" s="18">
        <v>0</v>
      </c>
      <c r="R12" s="18">
        <v>0</v>
      </c>
      <c r="S12" s="161" t="s">
        <v>193</v>
      </c>
    </row>
    <row r="13" spans="2:20" s="2" customFormat="1" ht="7.5" customHeight="1">
      <c r="B13" s="9"/>
      <c r="C13" s="10"/>
      <c r="D13" s="11"/>
      <c r="E13" s="11"/>
      <c r="F13" s="11"/>
      <c r="G13" s="11"/>
      <c r="H13" s="151"/>
      <c r="I13" s="20"/>
      <c r="J13" s="20"/>
      <c r="K13" s="9"/>
      <c r="L13" s="21"/>
      <c r="M13" s="21"/>
      <c r="N13" s="21"/>
      <c r="O13" s="21"/>
      <c r="P13" s="21"/>
      <c r="Q13" s="21"/>
      <c r="R13" s="21"/>
      <c r="S13" s="158"/>
    </row>
    <row r="14" spans="2:20" ht="20.45" customHeight="1">
      <c r="B14" s="175" t="s">
        <v>111</v>
      </c>
      <c r="C14" s="12" t="s">
        <v>55</v>
      </c>
      <c r="D14" s="6">
        <f>'Project schedule'!K48</f>
        <v>46118</v>
      </c>
      <c r="E14" s="16">
        <f>'Project schedule'!L48</f>
        <v>46142</v>
      </c>
      <c r="F14" s="17">
        <v>1</v>
      </c>
      <c r="G14" s="17">
        <f>'Project schedule'!G46</f>
        <v>0.9</v>
      </c>
      <c r="H14" s="149" t="s">
        <v>161</v>
      </c>
      <c r="I14" s="22" t="e">
        <f>#REF!</f>
        <v>#REF!</v>
      </c>
      <c r="J14" s="17">
        <v>0.6</v>
      </c>
      <c r="K14" s="154">
        <v>0.3</v>
      </c>
      <c r="L14" s="18">
        <v>0</v>
      </c>
      <c r="M14" s="18">
        <v>0</v>
      </c>
      <c r="N14" s="18">
        <v>0</v>
      </c>
      <c r="O14" s="27"/>
      <c r="P14" s="18">
        <v>0</v>
      </c>
      <c r="Q14" s="18">
        <v>0</v>
      </c>
      <c r="R14" s="18">
        <v>0</v>
      </c>
      <c r="S14" s="161" t="s">
        <v>202</v>
      </c>
    </row>
    <row r="15" spans="2:20" ht="20.45" customHeight="1">
      <c r="B15" s="175"/>
      <c r="C15" s="12" t="s">
        <v>60</v>
      </c>
      <c r="D15" s="6">
        <f>'Project schedule'!K54</f>
        <v>46118</v>
      </c>
      <c r="E15" s="16">
        <f>'Project schedule'!L54</f>
        <v>46142</v>
      </c>
      <c r="F15" s="17">
        <v>1</v>
      </c>
      <c r="G15" s="17">
        <f>'Project schedule'!G52</f>
        <v>0.75</v>
      </c>
      <c r="H15" s="149" t="s">
        <v>161</v>
      </c>
      <c r="I15" s="22" t="e">
        <f>#REF!</f>
        <v>#REF!</v>
      </c>
      <c r="J15" s="17">
        <v>0.5</v>
      </c>
      <c r="K15" s="154">
        <v>0.3</v>
      </c>
      <c r="L15" s="18">
        <v>0</v>
      </c>
      <c r="M15" s="18">
        <v>0</v>
      </c>
      <c r="N15" s="18">
        <v>0</v>
      </c>
      <c r="O15" s="27"/>
      <c r="P15" s="18">
        <v>0</v>
      </c>
      <c r="Q15" s="18">
        <v>0</v>
      </c>
      <c r="R15" s="18">
        <v>0</v>
      </c>
      <c r="S15" s="161" t="s">
        <v>204</v>
      </c>
    </row>
    <row r="16" spans="2:20" ht="20.45" customHeight="1">
      <c r="B16" s="175"/>
      <c r="C16" s="12" t="s">
        <v>64</v>
      </c>
      <c r="D16" s="6">
        <f>'Project schedule'!K59</f>
        <v>46118</v>
      </c>
      <c r="E16" s="16">
        <f>'Project schedule'!L59</f>
        <v>46142</v>
      </c>
      <c r="F16" s="17">
        <v>1</v>
      </c>
      <c r="G16" s="17">
        <f>'Project schedule'!G57</f>
        <v>1</v>
      </c>
      <c r="H16" s="149" t="s">
        <v>161</v>
      </c>
      <c r="I16" s="22" t="e">
        <f>#REF!</f>
        <v>#REF!</v>
      </c>
      <c r="J16" s="17">
        <v>0.4</v>
      </c>
      <c r="K16" s="154">
        <v>0.2</v>
      </c>
      <c r="L16" s="18">
        <v>0</v>
      </c>
      <c r="M16" s="18">
        <v>0</v>
      </c>
      <c r="N16" s="18">
        <v>0</v>
      </c>
      <c r="O16" s="27"/>
      <c r="P16" s="18">
        <v>0</v>
      </c>
      <c r="Q16" s="18">
        <v>0</v>
      </c>
      <c r="R16" s="18">
        <v>0</v>
      </c>
      <c r="S16" s="161" t="s">
        <v>205</v>
      </c>
    </row>
    <row r="17" spans="2:19" ht="20.45" customHeight="1">
      <c r="B17" s="175"/>
      <c r="C17" s="12" t="s">
        <v>70</v>
      </c>
      <c r="D17" s="6">
        <f>'Project schedule'!K65</f>
        <v>46118</v>
      </c>
      <c r="E17" s="16">
        <f>'Project schedule'!L65</f>
        <v>46142</v>
      </c>
      <c r="F17" s="17">
        <v>1</v>
      </c>
      <c r="G17" s="17">
        <f>'Project schedule'!G63</f>
        <v>1</v>
      </c>
      <c r="H17" s="149" t="s">
        <v>161</v>
      </c>
      <c r="I17" s="22" t="e">
        <f>#REF!</f>
        <v>#REF!</v>
      </c>
      <c r="J17" s="17">
        <v>0.6</v>
      </c>
      <c r="K17" s="154">
        <v>0.4</v>
      </c>
      <c r="L17" s="18">
        <v>0</v>
      </c>
      <c r="M17" s="18">
        <v>0</v>
      </c>
      <c r="N17" s="18">
        <v>0</v>
      </c>
      <c r="O17" s="27"/>
      <c r="P17" s="18">
        <v>0</v>
      </c>
      <c r="Q17" s="18">
        <v>0</v>
      </c>
      <c r="R17" s="18">
        <v>0</v>
      </c>
      <c r="S17" s="161" t="s">
        <v>204</v>
      </c>
    </row>
    <row r="18" spans="2:19" ht="20.45" customHeight="1">
      <c r="B18" s="175"/>
      <c r="C18" s="12" t="s">
        <v>71</v>
      </c>
      <c r="D18" s="6">
        <f>'Project schedule'!K72</f>
        <v>46142</v>
      </c>
      <c r="E18" s="16">
        <f>'Project schedule'!L72</f>
        <v>46171</v>
      </c>
      <c r="F18" s="17">
        <v>1</v>
      </c>
      <c r="G18" s="17">
        <f>'Project schedule'!G70</f>
        <v>0.875</v>
      </c>
      <c r="H18" s="149" t="s">
        <v>161</v>
      </c>
      <c r="I18" s="22" t="e">
        <f>#REF!</f>
        <v>#REF!</v>
      </c>
      <c r="J18" s="17">
        <v>0.5</v>
      </c>
      <c r="K18" s="154">
        <v>0.3</v>
      </c>
      <c r="L18" s="18">
        <v>0</v>
      </c>
      <c r="M18" s="18">
        <v>0</v>
      </c>
      <c r="N18" s="18">
        <v>0</v>
      </c>
      <c r="O18" s="27"/>
      <c r="P18" s="18">
        <v>0</v>
      </c>
      <c r="Q18" s="18">
        <v>0</v>
      </c>
      <c r="R18" s="18">
        <v>0</v>
      </c>
      <c r="S18" s="161" t="s">
        <v>206</v>
      </c>
    </row>
    <row r="19" spans="2:19" ht="20.45" customHeight="1">
      <c r="B19" s="175"/>
      <c r="C19" s="12" t="s">
        <v>75</v>
      </c>
      <c r="D19" s="6">
        <f>'Project schedule'!K77</f>
        <v>46118</v>
      </c>
      <c r="E19" s="16">
        <f>'Project schedule'!L77</f>
        <v>46142</v>
      </c>
      <c r="F19" s="17">
        <v>1</v>
      </c>
      <c r="G19" s="17">
        <f>'Project schedule'!G75</f>
        <v>0.875</v>
      </c>
      <c r="H19" s="149" t="s">
        <v>160</v>
      </c>
      <c r="I19" s="22" t="e">
        <f>#REF!</f>
        <v>#REF!</v>
      </c>
      <c r="J19" s="17">
        <v>0.7</v>
      </c>
      <c r="K19" s="154">
        <v>0.6</v>
      </c>
      <c r="L19" s="18">
        <v>0</v>
      </c>
      <c r="M19" s="18">
        <v>0</v>
      </c>
      <c r="N19" s="18">
        <v>0</v>
      </c>
      <c r="O19" s="27"/>
      <c r="P19" s="18">
        <v>0</v>
      </c>
      <c r="Q19" s="18">
        <v>0</v>
      </c>
      <c r="R19" s="18">
        <v>0</v>
      </c>
      <c r="S19" s="161" t="s">
        <v>203</v>
      </c>
    </row>
    <row r="20" spans="2:19" ht="20.45" customHeight="1">
      <c r="B20" s="175"/>
      <c r="C20" s="12" t="s">
        <v>79</v>
      </c>
      <c r="D20" s="6">
        <f>'Project schedule'!K82</f>
        <v>46118</v>
      </c>
      <c r="E20" s="16">
        <f>'Project schedule'!L80</f>
        <v>46142</v>
      </c>
      <c r="F20" s="17">
        <v>1</v>
      </c>
      <c r="G20" s="17">
        <f>'Project schedule'!G80</f>
        <v>1</v>
      </c>
      <c r="H20" s="149" t="s">
        <v>161</v>
      </c>
      <c r="I20" s="22" t="e">
        <f>#REF!</f>
        <v>#REF!</v>
      </c>
      <c r="J20" s="17">
        <v>0.8</v>
      </c>
      <c r="K20" s="154">
        <v>0.4</v>
      </c>
      <c r="L20" s="18">
        <v>0</v>
      </c>
      <c r="M20" s="18">
        <v>0</v>
      </c>
      <c r="N20" s="18">
        <v>0</v>
      </c>
      <c r="O20" s="27"/>
      <c r="P20" s="18">
        <v>0</v>
      </c>
      <c r="Q20" s="18">
        <v>0</v>
      </c>
      <c r="R20" s="18">
        <v>0</v>
      </c>
      <c r="S20" s="161" t="s">
        <v>191</v>
      </c>
    </row>
    <row r="21" spans="2:19" ht="20.45" customHeight="1">
      <c r="B21" s="175"/>
      <c r="C21" s="12" t="s">
        <v>80</v>
      </c>
      <c r="D21" s="6">
        <f>'Project schedule'!K88</f>
        <v>46118</v>
      </c>
      <c r="E21" s="16">
        <f>'Project schedule'!L86</f>
        <v>46142</v>
      </c>
      <c r="F21" s="17">
        <v>1</v>
      </c>
      <c r="G21" s="17">
        <f>'Project schedule'!G86</f>
        <v>1</v>
      </c>
      <c r="H21" s="149" t="s">
        <v>161</v>
      </c>
      <c r="I21" s="22" t="e">
        <f>#REF!</f>
        <v>#REF!</v>
      </c>
      <c r="J21" s="17">
        <v>0.8</v>
      </c>
      <c r="K21" s="154">
        <v>0.3</v>
      </c>
      <c r="L21" s="18">
        <v>0</v>
      </c>
      <c r="M21" s="18">
        <v>0</v>
      </c>
      <c r="N21" s="18">
        <v>0</v>
      </c>
      <c r="O21" s="27"/>
      <c r="P21" s="18">
        <v>0</v>
      </c>
      <c r="Q21" s="18">
        <v>0</v>
      </c>
      <c r="R21" s="18">
        <v>0</v>
      </c>
      <c r="S21" s="161" t="s">
        <v>191</v>
      </c>
    </row>
    <row r="22" spans="2:19" ht="20.45" customHeight="1">
      <c r="B22" s="175"/>
      <c r="C22" s="12" t="s">
        <v>81</v>
      </c>
      <c r="D22" s="6">
        <f>'Project schedule'!K95</f>
        <v>46118</v>
      </c>
      <c r="E22" s="16">
        <f>'Project schedule'!L93</f>
        <v>46142</v>
      </c>
      <c r="F22" s="17">
        <v>1</v>
      </c>
      <c r="G22" s="17">
        <f>'Project schedule'!G93</f>
        <v>0.5</v>
      </c>
      <c r="H22" s="149" t="s">
        <v>158</v>
      </c>
      <c r="I22" s="22" t="e">
        <f>#REF!</f>
        <v>#REF!</v>
      </c>
      <c r="J22" s="17">
        <v>0.9</v>
      </c>
      <c r="K22" s="154">
        <v>0.5</v>
      </c>
      <c r="L22" s="18">
        <v>0</v>
      </c>
      <c r="M22" s="18">
        <v>0</v>
      </c>
      <c r="N22" s="18">
        <v>0</v>
      </c>
      <c r="O22" s="27"/>
      <c r="P22" s="18">
        <v>0</v>
      </c>
      <c r="Q22" s="18">
        <v>0</v>
      </c>
      <c r="R22" s="18">
        <v>0</v>
      </c>
      <c r="S22" s="18"/>
    </row>
    <row r="23" spans="2:19" ht="20.45" customHeight="1">
      <c r="B23" s="175"/>
      <c r="C23" s="12" t="s">
        <v>82</v>
      </c>
      <c r="D23" s="6">
        <f>'Project schedule'!K101</f>
        <v>46118</v>
      </c>
      <c r="E23" s="16">
        <f>'Project schedule'!L101</f>
        <v>46142</v>
      </c>
      <c r="F23" s="17">
        <v>1</v>
      </c>
      <c r="G23" s="17">
        <f>'Project schedule'!G99</f>
        <v>0.83333333333333337</v>
      </c>
      <c r="H23" s="149" t="s">
        <v>161</v>
      </c>
      <c r="I23" s="22" t="e">
        <f>#REF!</f>
        <v>#REF!</v>
      </c>
      <c r="J23" s="17">
        <v>0.7</v>
      </c>
      <c r="K23" s="154">
        <v>0.4</v>
      </c>
      <c r="L23" s="18">
        <v>0</v>
      </c>
      <c r="M23" s="18">
        <v>0</v>
      </c>
      <c r="N23" s="18">
        <v>0</v>
      </c>
      <c r="O23" s="27"/>
      <c r="P23" s="18">
        <v>0</v>
      </c>
      <c r="Q23" s="18">
        <v>0</v>
      </c>
      <c r="R23" s="18">
        <v>0</v>
      </c>
      <c r="S23" s="161" t="s">
        <v>204</v>
      </c>
    </row>
    <row r="24" spans="2:19" ht="20.45" customHeight="1">
      <c r="B24" s="175"/>
      <c r="C24" s="12" t="s">
        <v>86</v>
      </c>
      <c r="D24" s="6">
        <f>'Project schedule'!K105</f>
        <v>46118</v>
      </c>
      <c r="E24" s="16">
        <f>'Project schedule'!L105</f>
        <v>46142</v>
      </c>
      <c r="F24" s="17">
        <v>1</v>
      </c>
      <c r="G24" s="17">
        <f>'Project schedule'!G103</f>
        <v>0.83333333333333337</v>
      </c>
      <c r="H24" s="149" t="s">
        <v>161</v>
      </c>
      <c r="I24" s="22" t="e">
        <f>#REF!</f>
        <v>#REF!</v>
      </c>
      <c r="J24" s="17">
        <v>0.6</v>
      </c>
      <c r="K24" s="154">
        <v>0.3</v>
      </c>
      <c r="L24" s="18">
        <v>0</v>
      </c>
      <c r="M24" s="18">
        <v>0</v>
      </c>
      <c r="N24" s="18">
        <v>0</v>
      </c>
      <c r="O24" s="27"/>
      <c r="P24" s="18">
        <v>0</v>
      </c>
      <c r="Q24" s="18">
        <v>0</v>
      </c>
      <c r="R24" s="18">
        <v>0</v>
      </c>
      <c r="S24" s="161" t="s">
        <v>204</v>
      </c>
    </row>
    <row r="25" spans="2:19" ht="20.45" customHeight="1">
      <c r="B25" s="175"/>
      <c r="C25" s="12" t="s">
        <v>89</v>
      </c>
      <c r="D25" s="6">
        <f>'Project schedule'!K109</f>
        <v>46142</v>
      </c>
      <c r="E25" s="16">
        <f>'Project schedule'!L109</f>
        <v>46171</v>
      </c>
      <c r="F25" s="17">
        <v>1</v>
      </c>
      <c r="G25" s="17">
        <f>'Project schedule'!G109</f>
        <v>0.5</v>
      </c>
      <c r="H25" s="149" t="s">
        <v>160</v>
      </c>
      <c r="I25" s="22" t="e">
        <f>#REF!</f>
        <v>#REF!</v>
      </c>
      <c r="J25" s="17">
        <v>0.85</v>
      </c>
      <c r="K25" s="154">
        <v>0.3</v>
      </c>
      <c r="L25" s="18">
        <v>0</v>
      </c>
      <c r="M25" s="18">
        <v>0</v>
      </c>
      <c r="N25" s="18">
        <v>0</v>
      </c>
      <c r="O25" s="27"/>
      <c r="P25" s="18">
        <v>0</v>
      </c>
      <c r="Q25" s="18">
        <v>0</v>
      </c>
      <c r="R25" s="18">
        <v>0</v>
      </c>
      <c r="S25" s="161" t="s">
        <v>192</v>
      </c>
    </row>
    <row r="26" spans="2:19" ht="20.45" customHeight="1">
      <c r="B26" s="175"/>
      <c r="C26" s="12" t="s">
        <v>90</v>
      </c>
      <c r="D26" s="6">
        <f>'Project schedule'!K118</f>
        <v>46136</v>
      </c>
      <c r="E26" s="16">
        <f>'Project schedule'!L118</f>
        <v>46170</v>
      </c>
      <c r="F26" s="17">
        <v>1</v>
      </c>
      <c r="G26" s="17">
        <f>'Project schedule'!G116</f>
        <v>0.8</v>
      </c>
      <c r="H26" s="149" t="s">
        <v>160</v>
      </c>
      <c r="I26" s="22" t="e">
        <f>#REF!</f>
        <v>#REF!</v>
      </c>
      <c r="J26" s="17">
        <v>0.65</v>
      </c>
      <c r="K26" s="154">
        <v>0.2</v>
      </c>
      <c r="L26" s="17">
        <v>0.5</v>
      </c>
      <c r="M26" s="18">
        <v>0.17</v>
      </c>
      <c r="N26" s="18">
        <v>0</v>
      </c>
      <c r="O26" s="27"/>
      <c r="P26" s="18">
        <v>0</v>
      </c>
      <c r="Q26" s="18">
        <v>0</v>
      </c>
      <c r="R26" s="18">
        <v>0</v>
      </c>
      <c r="S26" s="161" t="s">
        <v>207</v>
      </c>
    </row>
    <row r="27" spans="2:19" ht="20.45" customHeight="1">
      <c r="B27" s="175"/>
      <c r="C27" s="13" t="s">
        <v>108</v>
      </c>
      <c r="D27" s="6">
        <f>'Project schedule'!K119</f>
        <v>46013</v>
      </c>
      <c r="E27" s="16">
        <f>'Project schedule'!L56</f>
        <v>46171</v>
      </c>
      <c r="F27" s="17">
        <v>1</v>
      </c>
      <c r="G27" s="17">
        <f>'Project schedule'!G56</f>
        <v>0.5</v>
      </c>
      <c r="H27" s="149" t="s">
        <v>160</v>
      </c>
      <c r="I27" s="22" t="e">
        <f>#REF!</f>
        <v>#REF!</v>
      </c>
      <c r="J27" s="17">
        <v>0.95</v>
      </c>
      <c r="K27" s="154">
        <v>0.6</v>
      </c>
      <c r="L27" s="18">
        <v>0</v>
      </c>
      <c r="M27" s="18">
        <v>0</v>
      </c>
      <c r="N27" s="18">
        <v>0</v>
      </c>
      <c r="O27" s="27"/>
      <c r="P27" s="18">
        <v>0</v>
      </c>
      <c r="Q27" s="18">
        <v>0</v>
      </c>
      <c r="R27" s="18">
        <v>0</v>
      </c>
      <c r="S27" s="18"/>
    </row>
    <row r="28" spans="2:19" ht="20.45" customHeight="1">
      <c r="B28" s="175"/>
      <c r="C28" s="12" t="str">
        <f>'Project schedule'!B121</f>
        <v>Decision Engine</v>
      </c>
      <c r="D28" s="6">
        <f>'Project schedule'!K121</f>
        <v>46188</v>
      </c>
      <c r="E28" s="16">
        <f>'Project schedule'!L121</f>
        <v>46203</v>
      </c>
      <c r="F28" s="149" t="s">
        <v>158</v>
      </c>
      <c r="G28" s="17">
        <f>'Project schedule'!F121</f>
        <v>0.1</v>
      </c>
      <c r="H28" s="149" t="s">
        <v>160</v>
      </c>
      <c r="I28" s="22">
        <v>0.1</v>
      </c>
      <c r="J28" s="17">
        <v>0.95</v>
      </c>
      <c r="K28" s="154">
        <f>G28</f>
        <v>0.1</v>
      </c>
      <c r="L28" s="18">
        <v>0.1</v>
      </c>
      <c r="M28" s="18">
        <v>0</v>
      </c>
      <c r="N28" s="18">
        <v>0</v>
      </c>
      <c r="O28" s="27"/>
      <c r="P28" s="18">
        <v>0</v>
      </c>
      <c r="Q28" s="18">
        <v>0</v>
      </c>
      <c r="R28" s="18">
        <v>0</v>
      </c>
      <c r="S28" s="161" t="s">
        <v>190</v>
      </c>
    </row>
    <row r="29" spans="2:19" s="2" customFormat="1" ht="7.15" customHeight="1"/>
    <row r="30" spans="2:19" s="2" customFormat="1" ht="17.649999999999999" customHeight="1"/>
    <row r="31" spans="2:19" s="2" customFormat="1" ht="24.75" customHeight="1">
      <c r="B31" s="174" t="s">
        <v>95</v>
      </c>
      <c r="C31" s="165" t="s">
        <v>96</v>
      </c>
      <c r="D31" s="165" t="s">
        <v>97</v>
      </c>
      <c r="E31" s="165" t="s">
        <v>98</v>
      </c>
      <c r="F31" s="139"/>
      <c r="G31" s="139"/>
      <c r="H31" s="139"/>
      <c r="I31" s="166" t="s">
        <v>99</v>
      </c>
      <c r="J31" s="162"/>
      <c r="K31" s="1"/>
      <c r="L31" s="171" t="s">
        <v>101</v>
      </c>
      <c r="M31" s="172"/>
      <c r="N31" s="173"/>
      <c r="O31" s="23"/>
      <c r="P31" s="171" t="s">
        <v>100</v>
      </c>
      <c r="Q31" s="172"/>
      <c r="R31" s="173"/>
      <c r="S31" s="159"/>
    </row>
    <row r="32" spans="2:19" s="2" customFormat="1" ht="171">
      <c r="B32" s="174"/>
      <c r="C32" s="165"/>
      <c r="D32" s="165"/>
      <c r="E32" s="165"/>
      <c r="F32" s="139"/>
      <c r="G32" s="139"/>
      <c r="H32" s="139"/>
      <c r="I32" s="166"/>
      <c r="J32" s="162"/>
      <c r="K32" s="1"/>
      <c r="L32" s="14" t="s">
        <v>112</v>
      </c>
      <c r="M32" s="24" t="s">
        <v>103</v>
      </c>
      <c r="N32" s="25" t="s">
        <v>104</v>
      </c>
      <c r="O32" s="26"/>
      <c r="P32" s="14" t="s">
        <v>102</v>
      </c>
      <c r="Q32" s="24" t="s">
        <v>103</v>
      </c>
      <c r="R32" s="25" t="s">
        <v>104</v>
      </c>
      <c r="S32" s="160"/>
    </row>
    <row r="33" spans="2:22" customFormat="1" ht="8.65" customHeight="1"/>
    <row r="34" spans="2:22" ht="30">
      <c r="B34" s="170" t="s">
        <v>113</v>
      </c>
      <c r="C34" s="28" t="s">
        <v>114</v>
      </c>
      <c r="D34" s="6"/>
      <c r="E34" s="16"/>
      <c r="F34" s="140"/>
      <c r="G34" s="140"/>
      <c r="H34" s="140"/>
      <c r="I34" s="22" t="e">
        <f>#REF!</f>
        <v>#REF!</v>
      </c>
      <c r="J34" s="163"/>
      <c r="L34" s="18">
        <v>0</v>
      </c>
      <c r="M34" s="18">
        <v>0</v>
      </c>
      <c r="N34" s="18">
        <v>0</v>
      </c>
      <c r="O34" s="29"/>
      <c r="P34" s="18">
        <v>0</v>
      </c>
      <c r="Q34" s="18">
        <v>0</v>
      </c>
      <c r="R34" s="18">
        <v>0</v>
      </c>
      <c r="S34" s="157"/>
      <c r="U34" s="3" t="s">
        <v>115</v>
      </c>
    </row>
    <row r="35" spans="2:22" ht="20.45" customHeight="1">
      <c r="B35" s="170"/>
      <c r="C35" s="28" t="s">
        <v>116</v>
      </c>
      <c r="D35" s="6"/>
      <c r="E35" s="16"/>
      <c r="F35" s="140"/>
      <c r="G35" s="140"/>
      <c r="H35" s="140"/>
      <c r="I35" s="22" t="e">
        <f>#REF!</f>
        <v>#REF!</v>
      </c>
      <c r="J35" s="163"/>
      <c r="L35" s="18">
        <v>0</v>
      </c>
      <c r="M35" s="18">
        <v>0</v>
      </c>
      <c r="N35" s="18">
        <v>0</v>
      </c>
      <c r="O35" s="29"/>
      <c r="P35" s="18">
        <v>0</v>
      </c>
      <c r="Q35" s="18">
        <v>0</v>
      </c>
      <c r="R35" s="18">
        <v>0</v>
      </c>
      <c r="S35" s="157"/>
      <c r="U35" s="3" t="s">
        <v>117</v>
      </c>
    </row>
    <row r="36" spans="2:22" ht="20.45" customHeight="1">
      <c r="B36" s="170"/>
      <c r="C36" s="28" t="s">
        <v>118</v>
      </c>
      <c r="D36" s="6"/>
      <c r="E36" s="16"/>
      <c r="F36" s="140"/>
      <c r="G36" s="140"/>
      <c r="H36" s="140"/>
      <c r="I36" s="22" t="e">
        <f>#REF!</f>
        <v>#REF!</v>
      </c>
      <c r="J36" s="163"/>
      <c r="L36" s="18">
        <v>0</v>
      </c>
      <c r="M36" s="18">
        <v>0</v>
      </c>
      <c r="N36" s="18">
        <v>0</v>
      </c>
      <c r="O36" s="29"/>
      <c r="P36" s="18">
        <v>0</v>
      </c>
      <c r="Q36" s="18">
        <v>0</v>
      </c>
      <c r="R36" s="18">
        <v>0</v>
      </c>
      <c r="S36" s="157"/>
      <c r="U36" s="3" t="s">
        <v>119</v>
      </c>
    </row>
    <row r="37" spans="2:22" ht="20.45" customHeight="1">
      <c r="B37" s="170"/>
      <c r="C37" s="28" t="s">
        <v>120</v>
      </c>
      <c r="D37" s="6"/>
      <c r="E37" s="16"/>
      <c r="F37" s="140"/>
      <c r="G37" s="140"/>
      <c r="H37" s="140"/>
      <c r="I37" s="22" t="e">
        <f>#REF!</f>
        <v>#REF!</v>
      </c>
      <c r="J37" s="163"/>
      <c r="L37" s="18">
        <v>0</v>
      </c>
      <c r="M37" s="18">
        <v>0</v>
      </c>
      <c r="N37" s="18">
        <v>0</v>
      </c>
      <c r="O37" s="29"/>
      <c r="P37" s="18">
        <v>0</v>
      </c>
      <c r="Q37" s="18">
        <v>0</v>
      </c>
      <c r="R37" s="18">
        <v>0</v>
      </c>
      <c r="S37" s="157"/>
      <c r="U37" s="3" t="s">
        <v>121</v>
      </c>
    </row>
    <row r="38" spans="2:22" ht="20.45" customHeight="1">
      <c r="B38" s="170"/>
      <c r="C38" s="28" t="s">
        <v>122</v>
      </c>
      <c r="D38" s="6"/>
      <c r="E38" s="16"/>
      <c r="F38" s="140"/>
      <c r="G38" s="140"/>
      <c r="H38" s="140"/>
      <c r="I38" s="22" t="e">
        <f>#REF!</f>
        <v>#REF!</v>
      </c>
      <c r="J38" s="163"/>
      <c r="L38" s="18">
        <v>0</v>
      </c>
      <c r="M38" s="18">
        <v>0</v>
      </c>
      <c r="N38" s="18">
        <v>0</v>
      </c>
      <c r="O38" s="29"/>
      <c r="P38" s="18">
        <v>0</v>
      </c>
      <c r="Q38" s="18">
        <v>0</v>
      </c>
      <c r="R38" s="18">
        <v>0</v>
      </c>
      <c r="S38" s="157"/>
      <c r="U38" s="3" t="s">
        <v>123</v>
      </c>
      <c r="V38" s="3" t="s">
        <v>124</v>
      </c>
    </row>
    <row r="39" spans="2:22" ht="20.45" customHeight="1">
      <c r="B39" s="170"/>
      <c r="C39" s="28" t="s">
        <v>125</v>
      </c>
      <c r="D39" s="6"/>
      <c r="E39" s="16"/>
      <c r="F39" s="140"/>
      <c r="G39" s="140"/>
      <c r="H39" s="140"/>
      <c r="I39" s="22" t="e">
        <f>#REF!</f>
        <v>#REF!</v>
      </c>
      <c r="J39" s="163"/>
      <c r="L39" s="18">
        <v>0</v>
      </c>
      <c r="M39" s="18">
        <v>0</v>
      </c>
      <c r="N39" s="18">
        <v>0</v>
      </c>
      <c r="O39" s="29"/>
      <c r="P39" s="18">
        <v>0</v>
      </c>
      <c r="Q39" s="18">
        <v>0</v>
      </c>
      <c r="R39" s="18">
        <v>0</v>
      </c>
      <c r="S39" s="157"/>
      <c r="U39" s="3" t="s">
        <v>126</v>
      </c>
    </row>
    <row r="40" spans="2:22" ht="20.45" customHeight="1">
      <c r="B40" s="170"/>
      <c r="C40" s="28" t="s">
        <v>127</v>
      </c>
      <c r="D40" s="6"/>
      <c r="E40" s="16"/>
      <c r="F40" s="140"/>
      <c r="G40" s="140"/>
      <c r="H40" s="140"/>
      <c r="I40" s="22" t="e">
        <f>#REF!</f>
        <v>#REF!</v>
      </c>
      <c r="J40" s="163"/>
      <c r="L40" s="18">
        <v>0</v>
      </c>
      <c r="M40" s="18">
        <v>0</v>
      </c>
      <c r="N40" s="18">
        <v>0</v>
      </c>
      <c r="O40" s="29"/>
      <c r="P40" s="18">
        <v>0</v>
      </c>
      <c r="Q40" s="18">
        <v>0</v>
      </c>
      <c r="R40" s="18">
        <v>0</v>
      </c>
      <c r="S40" s="157"/>
      <c r="U40" s="3" t="s">
        <v>128</v>
      </c>
      <c r="V40" s="3" t="s">
        <v>129</v>
      </c>
    </row>
    <row r="41" spans="2:22" ht="20.45" customHeight="1">
      <c r="B41" s="170"/>
      <c r="C41" s="28" t="s">
        <v>130</v>
      </c>
      <c r="D41" s="6"/>
      <c r="E41" s="16"/>
      <c r="F41" s="140"/>
      <c r="G41" s="140"/>
      <c r="H41" s="140"/>
      <c r="I41" s="22" t="e">
        <f>#REF!</f>
        <v>#REF!</v>
      </c>
      <c r="J41" s="163"/>
      <c r="L41" s="18">
        <v>0</v>
      </c>
      <c r="M41" s="18">
        <v>0</v>
      </c>
      <c r="N41" s="18">
        <v>0</v>
      </c>
      <c r="O41" s="29"/>
      <c r="P41" s="18">
        <v>0</v>
      </c>
      <c r="Q41" s="18">
        <v>0</v>
      </c>
      <c r="R41" s="18">
        <v>0</v>
      </c>
      <c r="S41" s="157"/>
      <c r="U41" s="3" t="s">
        <v>131</v>
      </c>
    </row>
    <row r="42" spans="2:22" ht="20.45" customHeight="1">
      <c r="B42" s="170"/>
      <c r="C42" s="28" t="s">
        <v>132</v>
      </c>
      <c r="D42" s="6"/>
      <c r="E42" s="16"/>
      <c r="F42" s="140"/>
      <c r="G42" s="140"/>
      <c r="H42" s="140"/>
      <c r="I42" s="22" t="e">
        <f>#REF!</f>
        <v>#REF!</v>
      </c>
      <c r="J42" s="163"/>
      <c r="L42" s="18">
        <v>0</v>
      </c>
      <c r="M42" s="18">
        <v>0</v>
      </c>
      <c r="N42" s="18">
        <v>0</v>
      </c>
      <c r="O42" s="29"/>
      <c r="P42" s="18">
        <v>0</v>
      </c>
      <c r="Q42" s="18">
        <v>0</v>
      </c>
      <c r="R42" s="18">
        <v>0</v>
      </c>
      <c r="S42" s="157"/>
      <c r="U42" s="3" t="s">
        <v>133</v>
      </c>
    </row>
    <row r="43" spans="2:22" ht="5.45" customHeight="1"/>
  </sheetData>
  <sheetProtection formatCells="0" formatColumns="0" formatRows="0" insertColumns="0" insertRows="0" insertHyperlinks="0" deleteColumns="0" deleteRows="0" sort="0" autoFilter="0" pivotTables="0"/>
  <mergeCells count="24">
    <mergeCell ref="T2:T3"/>
    <mergeCell ref="S2:S3"/>
    <mergeCell ref="J2:J3"/>
    <mergeCell ref="B34:B42"/>
    <mergeCell ref="C2:C3"/>
    <mergeCell ref="C31:C32"/>
    <mergeCell ref="D2:D3"/>
    <mergeCell ref="D31:D32"/>
    <mergeCell ref="L2:N2"/>
    <mergeCell ref="P2:R2"/>
    <mergeCell ref="L31:N31"/>
    <mergeCell ref="P31:R31"/>
    <mergeCell ref="B2:B3"/>
    <mergeCell ref="B5:B11"/>
    <mergeCell ref="B14:B28"/>
    <mergeCell ref="B31:B32"/>
    <mergeCell ref="K2:K3"/>
    <mergeCell ref="E2:E3"/>
    <mergeCell ref="E31:E32"/>
    <mergeCell ref="I2:I3"/>
    <mergeCell ref="I31:I32"/>
    <mergeCell ref="G2:G3"/>
    <mergeCell ref="H2:H3"/>
    <mergeCell ref="F2:F3"/>
  </mergeCells>
  <phoneticPr fontId="37" type="noConversion"/>
  <conditionalFormatting sqref="F5:F11">
    <cfRule type="dataBar" priority="12">
      <dataBar>
        <cfvo type="min"/>
        <cfvo type="max"/>
        <color theme="0"/>
      </dataBar>
      <extLst>
        <ext xmlns:x14="http://schemas.microsoft.com/office/spreadsheetml/2009/9/main" uri="{B025F937-C7B1-47D3-B67F-A62EFF666E3E}">
          <x14:id>{0876A8AC-5D59-44D5-AD75-E4A2F7A70D12}</x14:id>
        </ext>
      </extLst>
    </cfRule>
  </conditionalFormatting>
  <conditionalFormatting sqref="F14:F27">
    <cfRule type="dataBar" priority="2">
      <dataBar>
        <cfvo type="min"/>
        <cfvo type="max"/>
        <color theme="0"/>
      </dataBar>
      <extLst>
        <ext xmlns:x14="http://schemas.microsoft.com/office/spreadsheetml/2009/9/main" uri="{B025F937-C7B1-47D3-B67F-A62EFF666E3E}">
          <x14:id>{C39CD9CF-219F-47AF-A154-739E8DCB3E8A}</x14:id>
        </ext>
      </extLst>
    </cfRule>
  </conditionalFormatting>
  <conditionalFormatting sqref="G5">
    <cfRule type="dataBar" priority="15">
      <dataBar>
        <cfvo type="min"/>
        <cfvo type="max"/>
        <color theme="0"/>
      </dataBar>
      <extLst>
        <ext xmlns:x14="http://schemas.microsoft.com/office/spreadsheetml/2009/9/main" uri="{B025F937-C7B1-47D3-B67F-A62EFF666E3E}">
          <x14:id>{2FE8154F-A104-4667-B896-42810CA3928E}</x14:id>
        </ext>
      </extLst>
    </cfRule>
  </conditionalFormatting>
  <conditionalFormatting sqref="G6:G12">
    <cfRule type="dataBar" priority="14">
      <dataBar>
        <cfvo type="min"/>
        <cfvo type="max"/>
        <color theme="0"/>
      </dataBar>
      <extLst>
        <ext xmlns:x14="http://schemas.microsoft.com/office/spreadsheetml/2009/9/main" uri="{B025F937-C7B1-47D3-B67F-A62EFF666E3E}">
          <x14:id>{F6400F51-46BC-4E90-981C-F30300B53E89}</x14:id>
        </ext>
      </extLst>
    </cfRule>
  </conditionalFormatting>
  <conditionalFormatting sqref="G14:G28">
    <cfRule type="dataBar" priority="108">
      <dataBar>
        <cfvo type="min"/>
        <cfvo type="max"/>
        <color theme="0"/>
      </dataBar>
      <extLst>
        <ext xmlns:x14="http://schemas.microsoft.com/office/spreadsheetml/2009/9/main" uri="{B025F937-C7B1-47D3-B67F-A62EFF666E3E}">
          <x14:id>{A7F786F3-2575-4CB0-B732-848978DF17A3}</x14:id>
        </ext>
      </extLst>
    </cfRule>
  </conditionalFormatting>
  <conditionalFormatting sqref="I34:J42 I5:J28">
    <cfRule type="dataBar" priority="105">
      <dataBar>
        <cfvo type="min"/>
        <cfvo type="max"/>
        <color theme="0"/>
      </dataBar>
      <extLst>
        <ext xmlns:x14="http://schemas.microsoft.com/office/spreadsheetml/2009/9/main" uri="{B025F937-C7B1-47D3-B67F-A62EFF666E3E}">
          <x14:id>{85EE5120-2113-4EFB-978A-61987E9BEAC0}</x14:id>
        </ext>
      </extLst>
    </cfRule>
  </conditionalFormatting>
  <conditionalFormatting sqref="K5:K12">
    <cfRule type="dataBar" priority="7">
      <dataBar>
        <cfvo type="min"/>
        <cfvo type="max"/>
        <color theme="0"/>
      </dataBar>
      <extLst>
        <ext xmlns:x14="http://schemas.microsoft.com/office/spreadsheetml/2009/9/main" uri="{B025F937-C7B1-47D3-B67F-A62EFF666E3E}">
          <x14:id>{DD7FCA29-8BC1-426D-9FA2-5109CC315970}</x14:id>
        </ext>
      </extLst>
    </cfRule>
  </conditionalFormatting>
  <conditionalFormatting sqref="K14:K28">
    <cfRule type="dataBar" priority="1">
      <dataBar>
        <cfvo type="min"/>
        <cfvo type="max"/>
        <color theme="0"/>
      </dataBar>
      <extLst>
        <ext xmlns:x14="http://schemas.microsoft.com/office/spreadsheetml/2009/9/main" uri="{B025F937-C7B1-47D3-B67F-A62EFF666E3E}">
          <x14:id>{F6F69DB1-0941-4CD4-96CF-37000382B2CF}</x14:id>
        </ext>
      </extLst>
    </cfRule>
  </conditionalFormatting>
  <conditionalFormatting sqref="L5:L12">
    <cfRule type="dataBar" priority="19">
      <dataBar>
        <cfvo type="min"/>
        <cfvo type="max"/>
        <color theme="0"/>
      </dataBar>
      <extLst>
        <ext xmlns:x14="http://schemas.microsoft.com/office/spreadsheetml/2009/9/main" uri="{B025F937-C7B1-47D3-B67F-A62EFF666E3E}">
          <x14:id>{2E05FDB5-F3BF-4BF1-868A-C7B0B73A3943}</x14:id>
        </ext>
      </extLst>
    </cfRule>
  </conditionalFormatting>
  <conditionalFormatting sqref="L26">
    <cfRule type="dataBar" priority="17">
      <dataBar>
        <cfvo type="min"/>
        <cfvo type="max"/>
        <color theme="0"/>
      </dataBar>
      <extLst>
        <ext xmlns:x14="http://schemas.microsoft.com/office/spreadsheetml/2009/9/main" uri="{B025F937-C7B1-47D3-B67F-A62EFF666E3E}">
          <x14:id>{FE1CC9CE-D1F5-4840-AB24-AEAFC91AB8D1}</x14:id>
        </ext>
      </extLst>
    </cfRule>
  </conditionalFormatting>
  <conditionalFormatting sqref="L34:S42 N5:O12 Q5:S12 M26:S26 L27:S28 L13:S25">
    <cfRule type="dataBar" priority="107">
      <dataBar>
        <cfvo type="min"/>
        <cfvo type="max"/>
        <color theme="0"/>
      </dataBar>
      <extLst>
        <ext xmlns:x14="http://schemas.microsoft.com/office/spreadsheetml/2009/9/main" uri="{B025F937-C7B1-47D3-B67F-A62EFF666E3E}">
          <x14:id>{8BE7412C-0FC9-4DDD-8E0F-73C7B2841FDD}</x14:id>
        </ext>
      </extLst>
    </cfRule>
  </conditionalFormatting>
  <conditionalFormatting sqref="M5:M9">
    <cfRule type="dataBar" priority="28">
      <dataBar>
        <cfvo type="min"/>
        <cfvo type="max"/>
        <color theme="0"/>
      </dataBar>
      <extLst>
        <ext xmlns:x14="http://schemas.microsoft.com/office/spreadsheetml/2009/9/main" uri="{B025F937-C7B1-47D3-B67F-A62EFF666E3E}">
          <x14:id>{7C4B7174-0A9B-4FFA-AE13-3F9B25F94900}</x14:id>
        </ext>
      </extLst>
    </cfRule>
  </conditionalFormatting>
  <conditionalFormatting sqref="M10:M12">
    <cfRule type="dataBar" priority="27">
      <dataBar>
        <cfvo type="min"/>
        <cfvo type="max"/>
        <color theme="0"/>
      </dataBar>
      <extLst>
        <ext xmlns:x14="http://schemas.microsoft.com/office/spreadsheetml/2009/9/main" uri="{B025F937-C7B1-47D3-B67F-A62EFF666E3E}">
          <x14:id>{5090686B-051F-41CE-9D46-7193484BFA5D}</x14:id>
        </ext>
      </extLst>
    </cfRule>
  </conditionalFormatting>
  <conditionalFormatting sqref="P5:P12">
    <cfRule type="dataBar" priority="18">
      <dataBar>
        <cfvo type="min"/>
        <cfvo type="max"/>
        <color theme="0"/>
      </dataBar>
      <extLst>
        <ext xmlns:x14="http://schemas.microsoft.com/office/spreadsheetml/2009/9/main" uri="{B025F937-C7B1-47D3-B67F-A62EFF666E3E}">
          <x14:id>{CACCD878-B2BE-4578-8279-048B94CB0749}</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0876A8AC-5D59-44D5-AD75-E4A2F7A70D12}">
            <x14:dataBar minLength="0" maxLength="100" gradient="0">
              <x14:cfvo type="autoMin"/>
              <x14:cfvo type="autoMax"/>
              <x14:negativeFillColor rgb="FFFF0000"/>
              <x14:axisColor rgb="FF000000"/>
            </x14:dataBar>
          </x14:cfRule>
          <xm:sqref>F5:F11</xm:sqref>
        </x14:conditionalFormatting>
        <x14:conditionalFormatting xmlns:xm="http://schemas.microsoft.com/office/excel/2006/main">
          <x14:cfRule type="dataBar" id="{C39CD9CF-219F-47AF-A154-739E8DCB3E8A}">
            <x14:dataBar minLength="0" maxLength="100" gradient="0">
              <x14:cfvo type="autoMin"/>
              <x14:cfvo type="autoMax"/>
              <x14:negativeFillColor rgb="FFFF0000"/>
              <x14:axisColor rgb="FF000000"/>
            </x14:dataBar>
          </x14:cfRule>
          <xm:sqref>F14:F27</xm:sqref>
        </x14:conditionalFormatting>
        <x14:conditionalFormatting xmlns:xm="http://schemas.microsoft.com/office/excel/2006/main">
          <x14:cfRule type="dataBar" id="{2FE8154F-A104-4667-B896-42810CA3928E}">
            <x14:dataBar minLength="0" maxLength="100" gradient="0">
              <x14:cfvo type="autoMin"/>
              <x14:cfvo type="autoMax"/>
              <x14:negativeFillColor rgb="FFFF0000"/>
              <x14:axisColor rgb="FF000000"/>
            </x14:dataBar>
          </x14:cfRule>
          <xm:sqref>G5</xm:sqref>
        </x14:conditionalFormatting>
        <x14:conditionalFormatting xmlns:xm="http://schemas.microsoft.com/office/excel/2006/main">
          <x14:cfRule type="dataBar" id="{F6400F51-46BC-4E90-981C-F30300B53E89}">
            <x14:dataBar minLength="0" maxLength="100" gradient="0">
              <x14:cfvo type="autoMin"/>
              <x14:cfvo type="autoMax"/>
              <x14:negativeFillColor rgb="FFFF0000"/>
              <x14:axisColor rgb="FF000000"/>
            </x14:dataBar>
          </x14:cfRule>
          <xm:sqref>G6:G12</xm:sqref>
        </x14:conditionalFormatting>
        <x14:conditionalFormatting xmlns:xm="http://schemas.microsoft.com/office/excel/2006/main">
          <x14:cfRule type="dataBar" id="{A7F786F3-2575-4CB0-B732-848978DF17A3}">
            <x14:dataBar minLength="0" maxLength="100" gradient="0">
              <x14:cfvo type="autoMin"/>
              <x14:cfvo type="autoMax"/>
              <x14:negativeFillColor rgb="FFFF0000"/>
              <x14:axisColor rgb="FF000000"/>
            </x14:dataBar>
          </x14:cfRule>
          <xm:sqref>G14:G28</xm:sqref>
        </x14:conditionalFormatting>
        <x14:conditionalFormatting xmlns:xm="http://schemas.microsoft.com/office/excel/2006/main">
          <x14:cfRule type="dataBar" id="{85EE5120-2113-4EFB-978A-61987E9BEAC0}">
            <x14:dataBar minLength="0" maxLength="100" gradient="0">
              <x14:cfvo type="autoMin"/>
              <x14:cfvo type="autoMax"/>
              <x14:negativeFillColor rgb="FFFF0000"/>
              <x14:axisColor rgb="FF000000"/>
            </x14:dataBar>
          </x14:cfRule>
          <xm:sqref>I34:J42 I5:J28</xm:sqref>
        </x14:conditionalFormatting>
        <x14:conditionalFormatting xmlns:xm="http://schemas.microsoft.com/office/excel/2006/main">
          <x14:cfRule type="dataBar" id="{DD7FCA29-8BC1-426D-9FA2-5109CC315970}">
            <x14:dataBar minLength="0" maxLength="100" gradient="0">
              <x14:cfvo type="autoMin"/>
              <x14:cfvo type="autoMax"/>
              <x14:negativeFillColor rgb="FFFF0000"/>
              <x14:axisColor rgb="FF000000"/>
            </x14:dataBar>
          </x14:cfRule>
          <xm:sqref>K5:K12</xm:sqref>
        </x14:conditionalFormatting>
        <x14:conditionalFormatting xmlns:xm="http://schemas.microsoft.com/office/excel/2006/main">
          <x14:cfRule type="dataBar" id="{F6F69DB1-0941-4CD4-96CF-37000382B2CF}">
            <x14:dataBar minLength="0" maxLength="100" gradient="0">
              <x14:cfvo type="autoMin"/>
              <x14:cfvo type="autoMax"/>
              <x14:negativeFillColor rgb="FFFF0000"/>
              <x14:axisColor rgb="FF000000"/>
            </x14:dataBar>
          </x14:cfRule>
          <xm:sqref>K14:K28</xm:sqref>
        </x14:conditionalFormatting>
        <x14:conditionalFormatting xmlns:xm="http://schemas.microsoft.com/office/excel/2006/main">
          <x14:cfRule type="dataBar" id="{2E05FDB5-F3BF-4BF1-868A-C7B0B73A3943}">
            <x14:dataBar minLength="0" maxLength="100" gradient="0">
              <x14:cfvo type="autoMin"/>
              <x14:cfvo type="autoMax"/>
              <x14:negativeFillColor rgb="FFFF0000"/>
              <x14:axisColor rgb="FF000000"/>
            </x14:dataBar>
          </x14:cfRule>
          <xm:sqref>L5:L12</xm:sqref>
        </x14:conditionalFormatting>
        <x14:conditionalFormatting xmlns:xm="http://schemas.microsoft.com/office/excel/2006/main">
          <x14:cfRule type="dataBar" id="{FE1CC9CE-D1F5-4840-AB24-AEAFC91AB8D1}">
            <x14:dataBar minLength="0" maxLength="100" gradient="0">
              <x14:cfvo type="autoMin"/>
              <x14:cfvo type="autoMax"/>
              <x14:negativeFillColor rgb="FFFF0000"/>
              <x14:axisColor rgb="FF000000"/>
            </x14:dataBar>
          </x14:cfRule>
          <xm:sqref>L26</xm:sqref>
        </x14:conditionalFormatting>
        <x14:conditionalFormatting xmlns:xm="http://schemas.microsoft.com/office/excel/2006/main">
          <x14:cfRule type="dataBar" id="{8BE7412C-0FC9-4DDD-8E0F-73C7B2841FDD}">
            <x14:dataBar minLength="0" maxLength="100" gradient="0">
              <x14:cfvo type="autoMin"/>
              <x14:cfvo type="autoMax"/>
              <x14:negativeFillColor rgb="FFFF0000"/>
              <x14:axisColor rgb="FF000000"/>
            </x14:dataBar>
          </x14:cfRule>
          <xm:sqref>L34:S42 N5:O12 Q5:S12 M26:S26 L27:S28 L13:S25</xm:sqref>
        </x14:conditionalFormatting>
        <x14:conditionalFormatting xmlns:xm="http://schemas.microsoft.com/office/excel/2006/main">
          <x14:cfRule type="dataBar" id="{7C4B7174-0A9B-4FFA-AE13-3F9B25F94900}">
            <x14:dataBar minLength="0" maxLength="100" gradient="0">
              <x14:cfvo type="autoMin"/>
              <x14:cfvo type="autoMax"/>
              <x14:negativeFillColor rgb="FFFF0000"/>
              <x14:axisColor rgb="FF000000"/>
            </x14:dataBar>
          </x14:cfRule>
          <xm:sqref>M5:M9</xm:sqref>
        </x14:conditionalFormatting>
        <x14:conditionalFormatting xmlns:xm="http://schemas.microsoft.com/office/excel/2006/main">
          <x14:cfRule type="dataBar" id="{5090686B-051F-41CE-9D46-7193484BFA5D}">
            <x14:dataBar minLength="0" maxLength="100" gradient="0">
              <x14:cfvo type="autoMin"/>
              <x14:cfvo type="autoMax"/>
              <x14:negativeFillColor rgb="FFFF0000"/>
              <x14:axisColor rgb="FF000000"/>
            </x14:dataBar>
          </x14:cfRule>
          <xm:sqref>M10:M12</xm:sqref>
        </x14:conditionalFormatting>
        <x14:conditionalFormatting xmlns:xm="http://schemas.microsoft.com/office/excel/2006/main">
          <x14:cfRule type="dataBar" id="{CACCD878-B2BE-4578-8279-048B94CB0749}">
            <x14:dataBar minLength="0" maxLength="100" gradient="0">
              <x14:cfvo type="autoMin"/>
              <x14:cfvo type="autoMax"/>
              <x14:negativeFillColor rgb="FFFF0000"/>
              <x14:axisColor rgb="FF000000"/>
            </x14:dataBar>
          </x14:cfRule>
          <xm:sqref>P5:P12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13"/>
  <pixelatorList sheetStid="11"/>
  <pixelatorList sheetStid="14"/>
  <pixelatorList sheetStid="15"/>
  <pixelatorList sheetStid="17"/>
  <pixelatorList sheetStid="18"/>
</pixelators>
</file>

<file path=customXml/item2.xml><?xml version="1.0" encoding="utf-8"?>
<woProps xmlns="https://web.wps.cn/et/2018/main" xmlns:s="http://schemas.openxmlformats.org/spreadsheetml/2006/main">
  <woSheetsProps>
    <woSheetProps sheetStid="13"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3.xml><?xml version="1.0" encoding="utf-8"?>
<comments xmlns="https://web.wps.cn/et/2018/main" xmlns:s="http://schemas.openxmlformats.org/spreadsheetml/2006/main">
  <commentList sheetStid="14">
    <commentChains s:ref="L2" rgbClr="FF0000">
      <unresolved>
        <commentChain chainId="c7bc11960e71680390919c40383b4e2687cc3651">
          <item id="0c6970d69e337295d7539fd749f2ede3ec486acb" isNormal="1">
            <s:text>
              <s:r>
                <s:t xml:space="preserve">lu'xue:
流程改造
包括
流程提升
线下流程线上化
拆解流程流转节点及责任人</s:t>
              </s:r>
            </s:text>
          </item>
        </commentChain>
      </unresolved>
      <resolved/>
    </commentChains>
    <commentChains s:ref="H31" rgbClr="FF0000">
      <unresolved>
        <commentChain chainId="fa0187d4655503b911afbc6a76696bbb8747ac90">
          <item id="c05775adcef7d554cf4f3a68f4b5eba836235d99" isNormal="1">
            <s:text>
              <s:r>
                <s:t xml:space="preserve">lu'xue:
流程改造
包括
流程提升
线下流程线上化
拆解流程流转节点及责任人</s:t>
              </s:r>
            </s:text>
          </item>
        </commentChain>
      </unresolved>
      <resolved/>
    </commentChains>
  </commentList>
</comment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Metadata/LabelInfo.xml><?xml version="1.0" encoding="utf-8"?>
<clbl:labelList xmlns:clbl="http://schemas.microsoft.com/office/2020/mipLabelMetadata">
  <clbl:label id="{19569c4b-1983-40cc-bea2-689a892f11cc}" enabled="1" method="Standard" siteId="{4a53882f-4a23-44a5-804f-22c3d142c43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Overall planning</vt:lpstr>
      <vt:lpstr>Display_Week</vt:lpstr>
      <vt:lpstr>'Project schedule'!Print_Titles</vt:lpstr>
      <vt:lpstr>Project_Start</vt:lpstr>
      <vt:lpstr>'Project schedule'!task_end</vt:lpstr>
      <vt:lpstr>'Project schedule'!task_progress</vt:lpstr>
      <vt:lpstr>'Project schedule'!task_start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Willy Willy</dc:creator>
  <cp:lastModifiedBy>Khan, Shahzaib</cp:lastModifiedBy>
  <dcterms:created xsi:type="dcterms:W3CDTF">2022-03-12T14:41:00Z</dcterms:created>
  <dcterms:modified xsi:type="dcterms:W3CDTF">2026-04-22T09:20:29Z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y fmtid="{D5CDD505-2E9C-101B-9397-08002B2CF9AE}" pid="4" name="KSOProductBuildVer">
    <vt:lpwstr>2052-0.0.0.0</vt:lpwstr>
  </property>
</Properties>
</file>